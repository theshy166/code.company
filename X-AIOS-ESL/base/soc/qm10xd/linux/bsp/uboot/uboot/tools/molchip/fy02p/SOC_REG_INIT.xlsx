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7"/>
  <workbookPr showObjects="none" filterPrivacy="1"/>
  <xr:revisionPtr revIDLastSave="0" documentId="13_ncr:1_{43AA2CB1-B6D3-4B81-A481-595F15008BF6}" xr6:coauthVersionLast="36" xr6:coauthVersionMax="46" xr10:uidLastSave="{00000000-0000-0000-0000-000000000000}"/>
  <bookViews>
    <workbookView xWindow="0" yWindow="0" windowWidth="19200" windowHeight="6900" tabRatio="902" activeTab="5" xr2:uid="{00000000-000D-0000-FFFF-FFFF00000000}"/>
  </bookViews>
  <sheets>
    <sheet name="dmc_sys_apb_reg" sheetId="1" r:id="rId1"/>
    <sheet name="umctl2_timing" sheetId="2" r:id="rId2"/>
    <sheet name="umctl2_perf" sheetId="3" r:id="rId3"/>
    <sheet name="init_flow" sheetId="23" r:id="rId4"/>
    <sheet name="PHY_CALIBRATION" sheetId="30" r:id="rId5"/>
    <sheet name="clock_init" sheetId="31" r:id="rId6"/>
    <sheet name="pinctrl_function" sheetId="32" r:id="rId7"/>
    <sheet name="pinctrl_ds_wpu" sheetId="33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23" l="1"/>
  <c r="E91" i="2" l="1"/>
  <c r="B38" i="2"/>
  <c r="B29" i="2"/>
  <c r="E116" i="2" l="1"/>
  <c r="B54" i="2" l="1"/>
  <c r="B13" i="2"/>
  <c r="E5" i="30" l="1"/>
  <c r="E4" i="30"/>
  <c r="E200" i="2" l="1"/>
  <c r="E199" i="2"/>
  <c r="E198" i="2"/>
  <c r="E197" i="2"/>
  <c r="E166" i="2"/>
  <c r="E140" i="2"/>
  <c r="E139" i="2"/>
  <c r="E138" i="2"/>
  <c r="E134" i="2"/>
  <c r="E130" i="2"/>
  <c r="E129" i="2"/>
  <c r="E128" i="2"/>
  <c r="E123" i="2"/>
  <c r="E113" i="2"/>
  <c r="E109" i="2"/>
  <c r="E108" i="2"/>
  <c r="E107" i="2"/>
  <c r="E106" i="2"/>
  <c r="E103" i="2"/>
  <c r="E100" i="2"/>
  <c r="E97" i="2"/>
  <c r="E96" i="2"/>
  <c r="E95" i="2"/>
  <c r="E93" i="2"/>
  <c r="E92" i="2"/>
  <c r="E90" i="2"/>
  <c r="E88" i="2"/>
  <c r="E87" i="2"/>
  <c r="B45" i="2"/>
  <c r="E167" i="2"/>
  <c r="B51" i="2"/>
  <c r="E119" i="2" s="1"/>
  <c r="B50" i="2"/>
  <c r="E104" i="2" s="1"/>
  <c r="B49" i="2"/>
  <c r="E117" i="2" s="1"/>
  <c r="B48" i="2"/>
  <c r="E118" i="2" s="1"/>
  <c r="B44" i="2"/>
  <c r="E122" i="2" s="1"/>
  <c r="B42" i="2"/>
  <c r="E175" i="2" s="1"/>
  <c r="B41" i="2"/>
  <c r="E174" i="2" s="1"/>
  <c r="B40" i="2"/>
  <c r="E112" i="2" s="1"/>
  <c r="B39" i="2"/>
  <c r="E111" i="2" s="1"/>
  <c r="B46" i="2"/>
  <c r="E121" i="2" s="1"/>
  <c r="B36" i="2"/>
  <c r="E105" i="2" s="1"/>
  <c r="B35" i="2"/>
  <c r="E110" i="2" s="1"/>
  <c r="B34" i="2"/>
  <c r="E126" i="2" s="1"/>
  <c r="B33" i="2"/>
  <c r="E101" i="2" s="1"/>
  <c r="B32" i="2"/>
  <c r="E115" i="2" s="1"/>
  <c r="B31" i="2"/>
  <c r="E125" i="2" s="1"/>
  <c r="B30" i="2"/>
  <c r="E124" i="2" s="1"/>
  <c r="E114" i="2"/>
  <c r="B27" i="2"/>
  <c r="E102" i="2" s="1"/>
  <c r="B18" i="2"/>
  <c r="B17" i="2"/>
  <c r="B16" i="2"/>
  <c r="E27" i="3"/>
  <c r="E18" i="3"/>
  <c r="E17" i="3"/>
  <c r="B56" i="2" l="1"/>
  <c r="E8" i="23"/>
  <c r="B47" i="2"/>
  <c r="B57" i="2"/>
  <c r="E132" i="2" s="1"/>
  <c r="E120" i="2"/>
  <c r="E135" i="2"/>
  <c r="B19" i="2"/>
  <c r="B43" i="2"/>
</calcChain>
</file>

<file path=xl/sharedStrings.xml><?xml version="1.0" encoding="utf-8"?>
<sst xmlns="http://schemas.openxmlformats.org/spreadsheetml/2006/main" count="4628" uniqueCount="1629">
  <si>
    <t>Module Name</t>
    <phoneticPr fontId="1" type="noConversion"/>
  </si>
  <si>
    <t>Base Address</t>
    <phoneticPr fontId="1" type="noConversion"/>
  </si>
  <si>
    <t>Register Name</t>
    <phoneticPr fontId="1" type="noConversion"/>
  </si>
  <si>
    <t>Offset Address</t>
    <phoneticPr fontId="1" type="noConversion"/>
  </si>
  <si>
    <t>Register Value</t>
    <phoneticPr fontId="1" type="noConversion"/>
  </si>
  <si>
    <t>Bits Name</t>
    <phoneticPr fontId="1" type="noConversion"/>
  </si>
  <si>
    <t>Bits Pos</t>
    <phoneticPr fontId="1" type="noConversion"/>
  </si>
  <si>
    <t>[27:24]</t>
    <phoneticPr fontId="1" type="noConversion"/>
  </si>
  <si>
    <t>[23:20]</t>
    <phoneticPr fontId="1" type="noConversion"/>
  </si>
  <si>
    <t>[19:16]</t>
    <phoneticPr fontId="1" type="noConversion"/>
  </si>
  <si>
    <t>[15:12]</t>
    <phoneticPr fontId="1" type="noConversion"/>
  </si>
  <si>
    <t>[11:8]</t>
    <phoneticPr fontId="1" type="noConversion"/>
  </si>
  <si>
    <t>[3:0]</t>
    <phoneticPr fontId="1" type="noConversion"/>
  </si>
  <si>
    <t>[1]</t>
    <phoneticPr fontId="1" type="noConversion"/>
  </si>
  <si>
    <t>[0]</t>
    <phoneticPr fontId="1" type="noConversion"/>
  </si>
  <si>
    <t>[9:0]</t>
    <phoneticPr fontId="1" type="noConversion"/>
  </si>
  <si>
    <t>[16]</t>
    <phoneticPr fontId="1" type="noConversion"/>
  </si>
  <si>
    <t>[5:0]</t>
    <phoneticPr fontId="1" type="noConversion"/>
  </si>
  <si>
    <t>[15:0]</t>
    <phoneticPr fontId="1" type="noConversion"/>
  </si>
  <si>
    <t>[23:16]</t>
    <phoneticPr fontId="1" type="noConversion"/>
  </si>
  <si>
    <t>[4:0]</t>
    <phoneticPr fontId="1" type="noConversion"/>
  </si>
  <si>
    <t>0x0</t>
    <phoneticPr fontId="1" type="noConversion"/>
  </si>
  <si>
    <t>0x1</t>
    <phoneticPr fontId="1" type="noConversion"/>
  </si>
  <si>
    <t>0x5</t>
    <phoneticPr fontId="1" type="noConversion"/>
  </si>
  <si>
    <t>[30:24]</t>
    <phoneticPr fontId="1" type="noConversion"/>
  </si>
  <si>
    <t>[20:16]</t>
    <phoneticPr fontId="1" type="noConversion"/>
  </si>
  <si>
    <t>0x2</t>
    <phoneticPr fontId="1" type="noConversion"/>
  </si>
  <si>
    <t>[7:0]</t>
    <phoneticPr fontId="1" type="noConversion"/>
  </si>
  <si>
    <t>ADDRMAP1</t>
    <phoneticPr fontId="1" type="noConversion"/>
  </si>
  <si>
    <t>0x0204</t>
    <phoneticPr fontId="1" type="noConversion"/>
  </si>
  <si>
    <t>ADDRMAP2</t>
    <phoneticPr fontId="1" type="noConversion"/>
  </si>
  <si>
    <t>0x0208</t>
    <phoneticPr fontId="1" type="noConversion"/>
  </si>
  <si>
    <t>ADDRMAP_COL_B5</t>
    <phoneticPr fontId="1" type="noConversion"/>
  </si>
  <si>
    <t>ADDRMAP3</t>
    <phoneticPr fontId="1" type="noConversion"/>
  </si>
  <si>
    <t>0x020C</t>
    <phoneticPr fontId="1" type="noConversion"/>
  </si>
  <si>
    <t>ADDRMAP4</t>
    <phoneticPr fontId="1" type="noConversion"/>
  </si>
  <si>
    <t>0x0210</t>
    <phoneticPr fontId="1" type="noConversion"/>
  </si>
  <si>
    <t>ADDRMAP5</t>
    <phoneticPr fontId="1" type="noConversion"/>
  </si>
  <si>
    <t>0x0214</t>
    <phoneticPr fontId="1" type="noConversion"/>
  </si>
  <si>
    <t>ADDRMAP6</t>
    <phoneticPr fontId="1" type="noConversion"/>
  </si>
  <si>
    <t>0x0218</t>
    <phoneticPr fontId="1" type="noConversion"/>
  </si>
  <si>
    <t>0xF</t>
    <phoneticPr fontId="1" type="noConversion"/>
  </si>
  <si>
    <t>0x0244</t>
    <phoneticPr fontId="1" type="noConversion"/>
  </si>
  <si>
    <t>[7:4]</t>
    <phoneticPr fontId="1" type="noConversion"/>
  </si>
  <si>
    <t>SCHED</t>
    <phoneticPr fontId="1" type="noConversion"/>
  </si>
  <si>
    <t>0x0250</t>
    <phoneticPr fontId="1" type="noConversion"/>
  </si>
  <si>
    <t>RDWR_IDLE_GAP</t>
    <phoneticPr fontId="1" type="noConversion"/>
  </si>
  <si>
    <t>GO2CRITICAL_HYSTERESIS</t>
    <phoneticPr fontId="1" type="noConversion"/>
  </si>
  <si>
    <t>0x50</t>
    <phoneticPr fontId="1" type="noConversion"/>
  </si>
  <si>
    <t>LPR_NUM_ENTRIES</t>
    <phoneticPr fontId="1" type="noConversion"/>
  </si>
  <si>
    <t>PAGECLOSE</t>
    <phoneticPr fontId="1" type="noConversion"/>
  </si>
  <si>
    <t>[2]</t>
    <phoneticPr fontId="1" type="noConversion"/>
  </si>
  <si>
    <t>PREFER_WRITE</t>
    <phoneticPr fontId="1" type="noConversion"/>
  </si>
  <si>
    <t>FORCE_LOW_PRI_N</t>
    <phoneticPr fontId="1" type="noConversion"/>
  </si>
  <si>
    <t>SCHED1</t>
    <phoneticPr fontId="1" type="noConversion"/>
  </si>
  <si>
    <t>0x0254</t>
    <phoneticPr fontId="1" type="noConversion"/>
  </si>
  <si>
    <t>PAGECLOSE_TIMER</t>
    <phoneticPr fontId="1" type="noConversion"/>
  </si>
  <si>
    <t>PERFHPR1</t>
    <phoneticPr fontId="1" type="noConversion"/>
  </si>
  <si>
    <t>0x025C</t>
    <phoneticPr fontId="1" type="noConversion"/>
  </si>
  <si>
    <t>HPR_XACT_RUN_LENGTH</t>
    <phoneticPr fontId="1" type="noConversion"/>
  </si>
  <si>
    <t>[31:24]</t>
    <phoneticPr fontId="1" type="noConversion"/>
  </si>
  <si>
    <t>HPR_MAX_STARVE</t>
    <phoneticPr fontId="1" type="noConversion"/>
  </si>
  <si>
    <t>PERFHLR1</t>
    <phoneticPr fontId="1" type="noConversion"/>
  </si>
  <si>
    <t>0x0264</t>
    <phoneticPr fontId="1" type="noConversion"/>
  </si>
  <si>
    <t>LPR_XACT_RUN_LENGTH</t>
    <phoneticPr fontId="1" type="noConversion"/>
  </si>
  <si>
    <t>LPR_MAX_STARVE</t>
    <phoneticPr fontId="1" type="noConversion"/>
  </si>
  <si>
    <t>PERFWR1</t>
    <phoneticPr fontId="1" type="noConversion"/>
  </si>
  <si>
    <t>0x026C</t>
    <phoneticPr fontId="1" type="noConversion"/>
  </si>
  <si>
    <t>W_XACT_RUN_LENGTH</t>
    <phoneticPr fontId="1" type="noConversion"/>
  </si>
  <si>
    <t>W_MAX_STARVE</t>
    <phoneticPr fontId="1" type="noConversion"/>
  </si>
  <si>
    <t>DBG0</t>
    <phoneticPr fontId="1" type="noConversion"/>
  </si>
  <si>
    <t>0x0300</t>
    <phoneticPr fontId="1" type="noConversion"/>
  </si>
  <si>
    <t>DIS_COLLISION_PAGE_OPT</t>
    <phoneticPr fontId="1" type="noConversion"/>
  </si>
  <si>
    <t>[4]</t>
    <phoneticPr fontId="1" type="noConversion"/>
  </si>
  <si>
    <t>DIS_ACT_BYPASS</t>
    <phoneticPr fontId="1" type="noConversion"/>
  </si>
  <si>
    <t>DIS_RD_BYPASS</t>
    <phoneticPr fontId="1" type="noConversion"/>
  </si>
  <si>
    <t>DIS_WC</t>
    <phoneticPr fontId="1" type="noConversion"/>
  </si>
  <si>
    <t>SWCTL</t>
    <phoneticPr fontId="1" type="noConversion"/>
  </si>
  <si>
    <t>0x0320</t>
    <phoneticPr fontId="1" type="noConversion"/>
  </si>
  <si>
    <t>SW_DONE</t>
    <phoneticPr fontId="1" type="noConversion"/>
  </si>
  <si>
    <t>PCCFG</t>
    <phoneticPr fontId="1" type="noConversion"/>
  </si>
  <si>
    <t>0x0400</t>
    <phoneticPr fontId="1" type="noConversion"/>
  </si>
  <si>
    <t>BL_EXP_MODE</t>
    <phoneticPr fontId="1" type="noConversion"/>
  </si>
  <si>
    <t>[8]</t>
    <phoneticPr fontId="1" type="noConversion"/>
  </si>
  <si>
    <t>PAGEMATCH_LIMIT</t>
    <phoneticPr fontId="1" type="noConversion"/>
  </si>
  <si>
    <t>GO2CRITICAL_EN</t>
    <phoneticPr fontId="1" type="noConversion"/>
  </si>
  <si>
    <t>UMCTL2_MP</t>
    <phoneticPr fontId="1" type="noConversion"/>
  </si>
  <si>
    <t>[14]</t>
    <phoneticPr fontId="1" type="noConversion"/>
  </si>
  <si>
    <t>SARBASE0</t>
    <phoneticPr fontId="1" type="noConversion"/>
  </si>
  <si>
    <t>0x0F04</t>
    <phoneticPr fontId="1" type="noConversion"/>
  </si>
  <si>
    <t>BASE_ADDR</t>
    <phoneticPr fontId="1" type="noConversion"/>
  </si>
  <si>
    <t>[31:0]</t>
    <phoneticPr fontId="1" type="noConversion"/>
  </si>
  <si>
    <t>SARSIZE0</t>
    <phoneticPr fontId="1" type="noConversion"/>
  </si>
  <si>
    <t>0x0F08</t>
    <phoneticPr fontId="1" type="noConversion"/>
  </si>
  <si>
    <t>NBLOCKS</t>
    <phoneticPr fontId="1" type="noConversion"/>
  </si>
  <si>
    <t>[20]</t>
    <phoneticPr fontId="1" type="noConversion"/>
  </si>
  <si>
    <t>0x2C100000</t>
    <phoneticPr fontId="1" type="noConversion"/>
  </si>
  <si>
    <t>0x2C000000</t>
    <phoneticPr fontId="1" type="noConversion"/>
  </si>
  <si>
    <t>0x1388</t>
    <phoneticPr fontId="1" type="noConversion"/>
  </si>
  <si>
    <t>0xBB8</t>
    <phoneticPr fontId="1" type="noConversion"/>
  </si>
  <si>
    <t>0x00000000</t>
    <phoneticPr fontId="1" type="noConversion"/>
  </si>
  <si>
    <t>DMC_PORT_QOS_CTRL0</t>
    <phoneticPr fontId="1" type="noConversion"/>
  </si>
  <si>
    <t>0x0504</t>
    <phoneticPr fontId="1" type="noConversion"/>
  </si>
  <si>
    <t>[31:28]</t>
    <phoneticPr fontId="1" type="noConversion"/>
  </si>
  <si>
    <t>[3:0]</t>
    <phoneticPr fontId="1" type="noConversion"/>
  </si>
  <si>
    <t>DMC_PORT_QOS_CTRL1</t>
    <phoneticPr fontId="1" type="noConversion"/>
  </si>
  <si>
    <t>0x0508</t>
    <phoneticPr fontId="1" type="noConversion"/>
  </si>
  <si>
    <t>0x30C</t>
    <phoneticPr fontId="1" type="noConversion"/>
  </si>
  <si>
    <t>0x1</t>
    <phoneticPr fontId="1" type="noConversion"/>
  </si>
  <si>
    <t>DMC_CLK_CTRL</t>
    <phoneticPr fontId="1" type="noConversion"/>
  </si>
  <si>
    <t>0x300</t>
    <phoneticPr fontId="1" type="noConversion"/>
  </si>
  <si>
    <t>DMC_SOFT_RST</t>
  </si>
  <si>
    <t>0x400</t>
    <phoneticPr fontId="1" type="noConversion"/>
  </si>
  <si>
    <t>[11]</t>
    <phoneticPr fontId="1" type="noConversion"/>
  </si>
  <si>
    <t>0x3</t>
    <phoneticPr fontId="1" type="noConversion"/>
  </si>
  <si>
    <t>0x1</t>
    <phoneticPr fontId="1" type="noConversion"/>
  </si>
  <si>
    <t>ADDRMAP8</t>
    <phoneticPr fontId="1" type="noConversion"/>
  </si>
  <si>
    <t>0x0220</t>
    <phoneticPr fontId="1" type="noConversion"/>
  </si>
  <si>
    <t>0x021C</t>
    <phoneticPr fontId="1" type="noConversion"/>
  </si>
  <si>
    <t>ADDRMAP7</t>
    <phoneticPr fontId="1" type="noConversion"/>
  </si>
  <si>
    <t>[2:0]</t>
    <phoneticPr fontId="1" type="noConversion"/>
  </si>
  <si>
    <t>DPLL_533M_CNT_DONE</t>
    <phoneticPr fontId="1" type="noConversion"/>
  </si>
  <si>
    <t>[0]</t>
    <phoneticPr fontId="1" type="noConversion"/>
  </si>
  <si>
    <t>0xC0C</t>
    <phoneticPr fontId="1" type="noConversion"/>
  </si>
  <si>
    <t>DDR_PLL_CTRL0</t>
    <phoneticPr fontId="1" type="noConversion"/>
  </si>
  <si>
    <t>[17:15]</t>
    <phoneticPr fontId="1" type="noConversion"/>
  </si>
  <si>
    <t>[14:0]</t>
    <phoneticPr fontId="1" type="noConversion"/>
  </si>
  <si>
    <t>PCFGR_5</t>
  </si>
  <si>
    <t>PCFGW_5</t>
  </si>
  <si>
    <t>PCFGQOS0_5</t>
  </si>
  <si>
    <t>PCFGQOS1_5</t>
  </si>
  <si>
    <t>PCFGWQOS0_5</t>
  </si>
  <si>
    <t>PCFGWQOS1_5</t>
  </si>
  <si>
    <t>PCFGR_6</t>
  </si>
  <si>
    <t>PCFGW_6</t>
  </si>
  <si>
    <t>PCFGQOS0_6</t>
  </si>
  <si>
    <t>PCFGQOS1_6</t>
  </si>
  <si>
    <t>PCFGWQOS0_6</t>
  </si>
  <si>
    <t>PCFGWQOS1_6</t>
  </si>
  <si>
    <t>CL</t>
    <phoneticPr fontId="1" type="noConversion"/>
  </si>
  <si>
    <t>PHY_LOAD_MODE0</t>
    <phoneticPr fontId="1" type="noConversion"/>
  </si>
  <si>
    <t>PHY_LOAD_MODE1</t>
    <phoneticPr fontId="1" type="noConversion"/>
  </si>
  <si>
    <t>AL</t>
    <phoneticPr fontId="1" type="noConversion"/>
  </si>
  <si>
    <t>PHY_LOAD_MODE2</t>
    <phoneticPr fontId="1" type="noConversion"/>
  </si>
  <si>
    <t>CWL</t>
    <phoneticPr fontId="1" type="noConversion"/>
  </si>
  <si>
    <t>DQ_WIDTH_SEL</t>
    <phoneticPr fontId="1" type="noConversion"/>
  </si>
  <si>
    <t>DDR4_MODE</t>
    <phoneticPr fontId="1" type="noConversion"/>
  </si>
  <si>
    <t>[6:4]</t>
    <phoneticPr fontId="1" type="noConversion"/>
  </si>
  <si>
    <t>[3:2]</t>
    <phoneticPr fontId="1" type="noConversion"/>
  </si>
  <si>
    <t>T_CKSRX</t>
  </si>
  <si>
    <t>CPU</t>
    <phoneticPr fontId="1" type="noConversion"/>
  </si>
  <si>
    <t>VPPU/G2D/JPG/SATA/IOE</t>
    <phoneticPr fontId="1" type="noConversion"/>
  </si>
  <si>
    <t>VIU/VOU</t>
    <phoneticPr fontId="1" type="noConversion"/>
  </si>
  <si>
    <t>VPU</t>
    <phoneticPr fontId="1" type="noConversion"/>
  </si>
  <si>
    <t>VDEC/BGM/BGM_CV</t>
    <phoneticPr fontId="1" type="noConversion"/>
  </si>
  <si>
    <t>VEU</t>
    <phoneticPr fontId="1" type="noConversion"/>
  </si>
  <si>
    <t>MCU/DMA/AES/GMAC/USB2.0</t>
    <phoneticPr fontId="1" type="noConversion"/>
  </si>
  <si>
    <r>
      <t>0x</t>
    </r>
    <r>
      <rPr>
        <sz val="11"/>
        <color rgb="FFFF0000"/>
        <rFont val="等线"/>
        <family val="3"/>
        <charset val="134"/>
        <scheme val="minor"/>
      </rPr>
      <t>FA</t>
    </r>
    <phoneticPr fontId="1" type="noConversion"/>
  </si>
  <si>
    <t>VIO2DMC_ARQOS_R</t>
    <phoneticPr fontId="1" type="noConversion"/>
  </si>
  <si>
    <t>VIO2DMC_AWQOS_R</t>
    <phoneticPr fontId="1" type="noConversion"/>
  </si>
  <si>
    <t>VPPU2DMC_ARQOS_R</t>
    <phoneticPr fontId="1" type="noConversion"/>
  </si>
  <si>
    <t>VPPU2DMC_AWQOS_R</t>
    <phoneticPr fontId="1" type="noConversion"/>
  </si>
  <si>
    <t>CPU2DMC_ARQOS_R</t>
    <phoneticPr fontId="1" type="noConversion"/>
  </si>
  <si>
    <t>CPU2DMC_AWQOS_R</t>
    <phoneticPr fontId="1" type="noConversion"/>
  </si>
  <si>
    <t>AP2DMC_ARQOS_R</t>
    <phoneticPr fontId="1" type="noConversion"/>
  </si>
  <si>
    <t>AP2DMC_AWQOS_R</t>
    <phoneticPr fontId="1" type="noConversion"/>
  </si>
  <si>
    <t>VEU2DMC_ARQOS_R</t>
    <phoneticPr fontId="1" type="noConversion"/>
  </si>
  <si>
    <t>VEU2DMC_AWQOS_R</t>
    <phoneticPr fontId="1" type="noConversion"/>
  </si>
  <si>
    <t>VDU2DMC_ARQOS_R</t>
    <phoneticPr fontId="1" type="noConversion"/>
  </si>
  <si>
    <t>VDU2DMC_AWQOS_R</t>
    <phoneticPr fontId="1" type="noConversion"/>
  </si>
  <si>
    <t>VPU2DMC_ARQOS_R</t>
    <phoneticPr fontId="1" type="noConversion"/>
  </si>
  <si>
    <t>VPU2DMC_AWQOS_R</t>
    <phoneticPr fontId="1" type="noConversion"/>
  </si>
  <si>
    <t>DPLL_533M_WAIT_CNT_NUM</t>
    <phoneticPr fontId="1" type="noConversion"/>
  </si>
  <si>
    <t>DMC_SOFT_RST</t>
    <phoneticPr fontId="1" type="noConversion"/>
  </si>
  <si>
    <t>CKG_DMC_EN</t>
    <phoneticPr fontId="1" type="noConversion"/>
  </si>
  <si>
    <t>CKG_DDR_PHY_EN</t>
    <phoneticPr fontId="1" type="noConversion"/>
  </si>
  <si>
    <t>[27]</t>
    <phoneticPr fontId="1" type="noConversion"/>
  </si>
  <si>
    <t>DDR_PHY</t>
    <phoneticPr fontId="1" type="noConversion"/>
  </si>
  <si>
    <t>0x3:16bit
0xF: 32bit</t>
    <phoneticPr fontId="1" type="noConversion"/>
  </si>
  <si>
    <t>0x4: DDR4
0x2: DDR3</t>
    <phoneticPr fontId="1" type="noConversion"/>
  </si>
  <si>
    <t>PHY_MODE0</t>
    <phoneticPr fontId="1" type="noConversion"/>
  </si>
  <si>
    <t>PHY_MODE1</t>
    <phoneticPr fontId="1" type="noConversion"/>
  </si>
  <si>
    <t>RO</t>
    <phoneticPr fontId="1" type="noConversion"/>
  </si>
  <si>
    <t>DMC_SYS_APB_REG</t>
    <phoneticPr fontId="1" type="noConversion"/>
  </si>
  <si>
    <t>DDR_PHY_APB_SOFT_RST</t>
    <phoneticPr fontId="1" type="noConversion"/>
  </si>
  <si>
    <t>CLOCK</t>
    <phoneticPr fontId="1" type="noConversion"/>
  </si>
  <si>
    <t>CLK_DIG_CTRL</t>
    <phoneticPr fontId="1" type="noConversion"/>
  </si>
  <si>
    <t>0x02E00008</t>
    <phoneticPr fontId="1" type="noConversion"/>
  </si>
  <si>
    <t>CKG_CPU_SYS_MTX_DIV</t>
    <phoneticPr fontId="1" type="noConversion"/>
  </si>
  <si>
    <t>[9:7]</t>
    <phoneticPr fontId="1" type="noConversion"/>
  </si>
  <si>
    <t>CKG_CPU_DBG_DIV</t>
    <phoneticPr fontId="1" type="noConversion"/>
  </si>
  <si>
    <t>CKG_CS_DBG_SEL</t>
    <phoneticPr fontId="1" type="noConversion"/>
  </si>
  <si>
    <t>0:24MHz
1:100MHz
2:200MHz</t>
    <phoneticPr fontId="1" type="noConversion"/>
  </si>
  <si>
    <t>CKG_CPU_CORE_SEL</t>
    <phoneticPr fontId="1" type="noConversion"/>
  </si>
  <si>
    <t>[1:0]</t>
    <phoneticPr fontId="1" type="noConversion"/>
  </si>
  <si>
    <t>CKG_AP_APB_CFG</t>
    <phoneticPr fontId="1" type="noConversion"/>
  </si>
  <si>
    <t>CKG_AP_APB_SEL</t>
    <phoneticPr fontId="1" type="noConversion"/>
  </si>
  <si>
    <t>CKG_AP_SYS_CFG</t>
    <phoneticPr fontId="1" type="noConversion"/>
  </si>
  <si>
    <t>[22]</t>
    <phoneticPr fontId="1" type="noConversion"/>
  </si>
  <si>
    <t>CKG_VPU_EN</t>
    <phoneticPr fontId="1" type="noConversion"/>
  </si>
  <si>
    <t>0x30000000</t>
    <phoneticPr fontId="1" type="noConversion"/>
  </si>
  <si>
    <t>ckg_vpu_sys_sel</t>
    <phoneticPr fontId="1" type="noConversion"/>
  </si>
  <si>
    <t>[4:2]</t>
    <phoneticPr fontId="1" type="noConversion"/>
  </si>
  <si>
    <t>0:24MHz
1:200MHz
2:333.3MHz
3:640MHz</t>
    <phoneticPr fontId="1" type="noConversion"/>
  </si>
  <si>
    <t>ckg_ahb_vpu_en</t>
    <phoneticPr fontId="1" type="noConversion"/>
  </si>
  <si>
    <t>ckg_vpu_en</t>
    <phoneticPr fontId="1" type="noConversion"/>
  </si>
  <si>
    <t>VDU_SYS_CLK_CTRL0</t>
    <phoneticPr fontId="1" type="noConversion"/>
  </si>
  <si>
    <t>0x24000028</t>
    <phoneticPr fontId="1" type="noConversion"/>
  </si>
  <si>
    <t>ckg_ahb_bgm_cv_en</t>
    <phoneticPr fontId="1" type="noConversion"/>
  </si>
  <si>
    <t>ckg_ahb_bgm_en</t>
    <phoneticPr fontId="1" type="noConversion"/>
  </si>
  <si>
    <t>[21]</t>
    <phoneticPr fontId="1" type="noConversion"/>
  </si>
  <si>
    <t>ckg_g2d_en</t>
    <phoneticPr fontId="1" type="noConversion"/>
  </si>
  <si>
    <t>ckg_bgm_cv_en</t>
    <phoneticPr fontId="1" type="noConversion"/>
  </si>
  <si>
    <t>[17]</t>
    <phoneticPr fontId="1" type="noConversion"/>
  </si>
  <si>
    <t>ckg_bgm_en</t>
    <phoneticPr fontId="1" type="noConversion"/>
  </si>
  <si>
    <t>ckg_vdu_en</t>
    <phoneticPr fontId="1" type="noConversion"/>
  </si>
  <si>
    <t>ckg_vppu_sys_sel</t>
    <phoneticPr fontId="1" type="noConversion"/>
  </si>
  <si>
    <t>[6:5]</t>
    <phoneticPr fontId="1" type="noConversion"/>
  </si>
  <si>
    <t>ckg_vdu_sys_sel</t>
    <phoneticPr fontId="1" type="noConversion"/>
  </si>
  <si>
    <t>[2:1]</t>
    <phoneticPr fontId="1" type="noConversion"/>
  </si>
  <si>
    <t>CKG_GLB_APB_CFG</t>
    <phoneticPr fontId="1" type="noConversion"/>
  </si>
  <si>
    <t>0x28100230</t>
    <phoneticPr fontId="1" type="noConversion"/>
  </si>
  <si>
    <t>ckg_glb_apb_sel</t>
    <phoneticPr fontId="1" type="noConversion"/>
  </si>
  <si>
    <t>CKG_GLB_VIO_CFG</t>
    <phoneticPr fontId="1" type="noConversion"/>
  </si>
  <si>
    <t>0x28100234</t>
    <phoneticPr fontId="1" type="noConversion"/>
  </si>
  <si>
    <t>ckg_glb_vio_sel</t>
    <phoneticPr fontId="1" type="noConversion"/>
  </si>
  <si>
    <t>CKG_GLB_VEU_CFG</t>
    <phoneticPr fontId="1" type="noConversion"/>
  </si>
  <si>
    <t>0x28100238</t>
    <phoneticPr fontId="1" type="noConversion"/>
  </si>
  <si>
    <t>ckg_glb_veu_sel</t>
    <phoneticPr fontId="1" type="noConversion"/>
  </si>
  <si>
    <t>CPU_CLK_SEL</t>
    <phoneticPr fontId="1" type="noConversion"/>
  </si>
  <si>
    <t>BUS 2:1 divide</t>
    <phoneticPr fontId="1" type="noConversion"/>
  </si>
  <si>
    <t>APB: 4:1 divide</t>
    <phoneticPr fontId="1" type="noConversion"/>
  </si>
  <si>
    <t>0:24MHz
1:640MHz
2:1300MHz
3:1500MHz</t>
    <phoneticPr fontId="1" type="noConversion"/>
  </si>
  <si>
    <t>CKG_CA7_CORE_CFG</t>
    <phoneticPr fontId="1" type="noConversion"/>
  </si>
  <si>
    <t>ckg_ca7_core_sel</t>
    <phoneticPr fontId="1" type="noConversion"/>
  </si>
  <si>
    <t>0:24MHz (defalut)
1:200MHz
2:640MHz
3:804MHz</t>
    <phoneticPr fontId="1" type="noConversion"/>
  </si>
  <si>
    <t>0x19F00220</t>
    <phoneticPr fontId="1" type="noConversion"/>
  </si>
  <si>
    <t>0x19F00224</t>
    <phoneticPr fontId="1" type="noConversion"/>
  </si>
  <si>
    <t>ckg_ap_sys_div</t>
    <phoneticPr fontId="1" type="noConversion"/>
  </si>
  <si>
    <t>[10:8]</t>
    <phoneticPr fontId="1" type="noConversion"/>
  </si>
  <si>
    <t>0x0: 1分频
0x1: 2分频（default)</t>
    <phoneticPr fontId="1" type="noConversion"/>
  </si>
  <si>
    <t>CKG_CA7_DBG_CFG</t>
    <phoneticPr fontId="1" type="noConversion"/>
  </si>
  <si>
    <t>ckg_ca7_dbg_div</t>
    <phoneticPr fontId="1" type="noConversion"/>
  </si>
  <si>
    <t>0x0: 1分频
0x1: 2分频
0x2: 3分频
0x3: 4分频 （default）</t>
    <phoneticPr fontId="1" type="noConversion"/>
  </si>
  <si>
    <t>0x19F00228</t>
    <phoneticPr fontId="1" type="noConversion"/>
  </si>
  <si>
    <t>0x19F0022C</t>
    <phoneticPr fontId="1" type="noConversion"/>
  </si>
  <si>
    <t>0:24MHz (default)
1:64MHz
2:100MHz</t>
    <phoneticPr fontId="1" type="noConversion"/>
  </si>
  <si>
    <t>0:24MHz (default)
1:64MHz
2:100MHz
3:200MHz</t>
    <phoneticPr fontId="1" type="noConversion"/>
  </si>
  <si>
    <t>0:24MHz (default)
1:100MHz
2:200MHz
3:400MHz</t>
    <phoneticPr fontId="1" type="noConversion"/>
  </si>
  <si>
    <t>0:24MHz (default)
1:200MHz
2:400MHz
3:640MHz</t>
    <phoneticPr fontId="1" type="noConversion"/>
  </si>
  <si>
    <t>0:24MHz (default)
1:100MHz
2:333.3MHZ
3:400MHz</t>
    <phoneticPr fontId="1" type="noConversion"/>
  </si>
  <si>
    <t>0:24MHz (default)
1:100MHz
2:200MHz
3:333.3MHZ</t>
    <phoneticPr fontId="1" type="noConversion"/>
  </si>
  <si>
    <t>DPLL_PLL_DIV</t>
    <phoneticPr fontId="1" type="noConversion"/>
  </si>
  <si>
    <t>[18:4]</t>
    <phoneticPr fontId="1" type="noConversion"/>
  </si>
  <si>
    <t>DPLL_RATE</t>
    <phoneticPr fontId="1" type="noConversion"/>
  </si>
  <si>
    <t>[21:19]</t>
    <phoneticPr fontId="1" type="noConversion"/>
  </si>
  <si>
    <t>1500MHz setting</t>
    <phoneticPr fontId="1" type="noConversion"/>
  </si>
  <si>
    <t>0x3E80</t>
    <phoneticPr fontId="1" type="noConversion"/>
  </si>
  <si>
    <t>[26:22]</t>
    <phoneticPr fontId="1" type="noConversion"/>
  </si>
  <si>
    <t>DPLL_REFCLK_DIV</t>
    <phoneticPr fontId="1" type="noConversion"/>
  </si>
  <si>
    <t>DPLL_CTRL0</t>
    <phoneticPr fontId="1" type="noConversion"/>
  </si>
  <si>
    <t>0x280000A0</t>
    <phoneticPr fontId="1" type="noConversion"/>
  </si>
  <si>
    <t>0x18000048</t>
    <phoneticPr fontId="1" type="noConversion"/>
  </si>
  <si>
    <t>0x23</t>
    <phoneticPr fontId="1" type="noConversion"/>
  </si>
  <si>
    <t>0x23: 804MHz</t>
    <phoneticPr fontId="1" type="noConversion"/>
  </si>
  <si>
    <t>clk_cpu_out = 12*(hex2dec(clk_dig_ctrl[31:24])+32)</t>
    <phoneticPr fontId="1" type="noConversion"/>
  </si>
  <si>
    <t>主CPU</t>
    <phoneticPr fontId="1" type="noConversion"/>
  </si>
  <si>
    <t>MCU</t>
    <phoneticPr fontId="1" type="noConversion"/>
  </si>
  <si>
    <t>CKG_DMC_AUTO_GATE_SEL</t>
    <phoneticPr fontId="1" type="noConversion"/>
  </si>
  <si>
    <t>[22]</t>
    <phoneticPr fontId="1" type="noConversion"/>
  </si>
  <si>
    <t>0x1</t>
    <phoneticPr fontId="1" type="noConversion"/>
  </si>
  <si>
    <t>CKG_DMC_1X_VPU_AUTO_GATE_SEL</t>
    <phoneticPr fontId="1" type="noConversion"/>
  </si>
  <si>
    <t>[17]</t>
    <phoneticPr fontId="1" type="noConversion"/>
  </si>
  <si>
    <t>0x309</t>
    <phoneticPr fontId="1" type="noConversion"/>
  </si>
  <si>
    <t>0x2C000400</t>
    <phoneticPr fontId="1" type="noConversion"/>
  </si>
  <si>
    <t>0x2C200014</t>
    <phoneticPr fontId="1" type="noConversion"/>
  </si>
  <si>
    <t>0x2C200018</t>
    <phoneticPr fontId="1" type="noConversion"/>
  </si>
  <si>
    <t>0x2C20001C</t>
    <phoneticPr fontId="1" type="noConversion"/>
  </si>
  <si>
    <t>0x2C20003C</t>
    <phoneticPr fontId="1" type="noConversion"/>
  </si>
  <si>
    <t>0x2C200004</t>
    <phoneticPr fontId="1" type="noConversion"/>
  </si>
  <si>
    <t>DMC_SYS_APB_REG+PHY REG</t>
    <phoneticPr fontId="1" type="noConversion"/>
  </si>
  <si>
    <t>DFI_INIT_START</t>
    <phoneticPr fontId="1" type="noConversion"/>
  </si>
  <si>
    <t>0x2C00050C</t>
    <phoneticPr fontId="1" type="noConversion"/>
  </si>
  <si>
    <t>dfi_init_start</t>
    <phoneticPr fontId="1" type="noConversion"/>
  </si>
  <si>
    <t>[1]</t>
    <phoneticPr fontId="1" type="noConversion"/>
  </si>
  <si>
    <t>0x1</t>
    <phoneticPr fontId="1" type="noConversion"/>
  </si>
  <si>
    <t>1. Release PHY APB rst</t>
    <phoneticPr fontId="1" type="noConversion"/>
  </si>
  <si>
    <t>2. iusse dfi_init_start=1 to rst phy</t>
    <phoneticPr fontId="1" type="noConversion"/>
  </si>
  <si>
    <t xml:space="preserve">3. configure DDR PHY
4. polling DDR_PHY PLL lock
</t>
    <phoneticPr fontId="1" type="noConversion"/>
  </si>
  <si>
    <t>0x2</t>
    <phoneticPr fontId="1" type="noConversion"/>
  </si>
  <si>
    <t>DMC_PRE_DIV_CTRL</t>
    <phoneticPr fontId="1" type="noConversion"/>
  </si>
  <si>
    <t>0x304</t>
    <phoneticPr fontId="1" type="noConversion"/>
  </si>
  <si>
    <t>DPLL_533M_PD</t>
    <phoneticPr fontId="1" type="noConversion"/>
  </si>
  <si>
    <t>[5]</t>
    <phoneticPr fontId="1" type="noConversion"/>
  </si>
  <si>
    <t>0x1</t>
    <phoneticPr fontId="1" type="noConversion"/>
  </si>
  <si>
    <t>0x0</t>
    <phoneticPr fontId="1" type="noConversion"/>
  </si>
  <si>
    <t>0x145</t>
    <phoneticPr fontId="1" type="noConversion"/>
  </si>
  <si>
    <t>DPLL_1500M_PD_CTRL</t>
    <phoneticPr fontId="1" type="noConversion"/>
  </si>
  <si>
    <t>0x2800009C</t>
    <phoneticPr fontId="1" type="noConversion"/>
  </si>
  <si>
    <t>CKG_DPLL_1500M_PD</t>
    <phoneticPr fontId="1" type="noConversion"/>
  </si>
  <si>
    <t>[10]</t>
    <phoneticPr fontId="1" type="noConversion"/>
  </si>
  <si>
    <t>0x2800009D</t>
    <phoneticPr fontId="1" type="noConversion"/>
  </si>
  <si>
    <t>CKG_DPLL_CNT_DOWN</t>
    <phoneticPr fontId="1" type="noConversion"/>
  </si>
  <si>
    <t>[11]</t>
    <phoneticPr fontId="1" type="noConversion"/>
  </si>
  <si>
    <t>select 640MHz as default</t>
    <phoneticPr fontId="1" type="noConversion"/>
  </si>
  <si>
    <t>0x2C200828</t>
    <phoneticPr fontId="1" type="noConversion"/>
  </si>
  <si>
    <t>0x2C2000C8</t>
  </si>
  <si>
    <t>SEL2</t>
  </si>
  <si>
    <t>[4:0]</t>
  </si>
  <si>
    <t>SEL3</t>
  </si>
  <si>
    <t>SEL4</t>
  </si>
  <si>
    <t>SEL5</t>
  </si>
  <si>
    <t>SEL6</t>
  </si>
  <si>
    <t>SEL7</t>
  </si>
  <si>
    <t>SEL8</t>
  </si>
  <si>
    <t>SEL9</t>
  </si>
  <si>
    <t>SEL10</t>
  </si>
  <si>
    <t>SEL11</t>
  </si>
  <si>
    <t>SEL12</t>
  </si>
  <si>
    <t>SEL13</t>
  </si>
  <si>
    <t>SEL14</t>
  </si>
  <si>
    <t>SEL15</t>
  </si>
  <si>
    <t>SEL16</t>
  </si>
  <si>
    <t>SEL17</t>
  </si>
  <si>
    <t>SEL18</t>
  </si>
  <si>
    <t>SEL19</t>
  </si>
  <si>
    <t>SEL20</t>
  </si>
  <si>
    <t>SEL21</t>
  </si>
  <si>
    <t>SEL22</t>
  </si>
  <si>
    <t>0x1</t>
  </si>
  <si>
    <t>PCFGR_0</t>
  </si>
  <si>
    <t>0x0</t>
  </si>
  <si>
    <t>0x3ff</t>
  </si>
  <si>
    <t>PCFGR_1</t>
  </si>
  <si>
    <t>PCFGR_2</t>
  </si>
  <si>
    <t>PCFGR_3</t>
  </si>
  <si>
    <t>PCFGR_4</t>
  </si>
  <si>
    <t>PCFGR_7</t>
  </si>
  <si>
    <t>PCFGW_0</t>
  </si>
  <si>
    <t>PCFGW_1</t>
  </si>
  <si>
    <t>PCFGW_2</t>
  </si>
  <si>
    <t>PCFGW_3</t>
  </si>
  <si>
    <t>PCFGW_4</t>
  </si>
  <si>
    <t>PCFGW_7</t>
  </si>
  <si>
    <t>PCFGQOS0_0</t>
  </si>
  <si>
    <t>[25:24]</t>
  </si>
  <si>
    <t>0x2</t>
  </si>
  <si>
    <t>[21:20]</t>
  </si>
  <si>
    <t>[17:16]</t>
  </si>
  <si>
    <t>0xe</t>
  </si>
  <si>
    <t>0xa</t>
  </si>
  <si>
    <t>PCFGQOS0_1</t>
  </si>
  <si>
    <t>PCFGQOS0_2</t>
  </si>
  <si>
    <t>PCFGQOS0_3</t>
  </si>
  <si>
    <t>PCFGQOS0_4</t>
  </si>
  <si>
    <t>PCFGQOS0_7</t>
  </si>
  <si>
    <t>PCFGQOS1_0</t>
  </si>
  <si>
    <t>[31:16]</t>
  </si>
  <si>
    <t>0x7ff</t>
  </si>
  <si>
    <t>PCFGQOS1_1</t>
  </si>
  <si>
    <t>PCFGQOS1_2</t>
  </si>
  <si>
    <t>PCFGQOS1_3</t>
  </si>
  <si>
    <t>PCFGQOS1_4</t>
  </si>
  <si>
    <t>PCFGQOS1_7</t>
  </si>
  <si>
    <t>PCFGWQOS0_0</t>
  </si>
  <si>
    <t>PCFGWQOS0_1</t>
  </si>
  <si>
    <t>PCFGWQOS0_2</t>
  </si>
  <si>
    <t>PCFGWQOS0_3</t>
  </si>
  <si>
    <t>PCFGWQOS0_4</t>
  </si>
  <si>
    <t>PCFGWQOS0_7</t>
  </si>
  <si>
    <t>PCFGWQOS1_0</t>
  </si>
  <si>
    <t>PCFGWQOS1_1</t>
  </si>
  <si>
    <t>PCFGWQOS1_2</t>
  </si>
  <si>
    <t>PCFGWQOS1_3</t>
  </si>
  <si>
    <t>PCFGWQOS1_4</t>
  </si>
  <si>
    <t>PCFGWQOS1_7</t>
  </si>
  <si>
    <t>0x0404</t>
  </si>
  <si>
    <t>0x04b4</t>
  </si>
  <si>
    <t>0x0564</t>
  </si>
  <si>
    <t>0x0614</t>
  </si>
  <si>
    <t>0x06c4</t>
  </si>
  <si>
    <t>0x0774</t>
  </si>
  <si>
    <t>0x0824</t>
  </si>
  <si>
    <t>0x08d4</t>
  </si>
  <si>
    <t>0x0408</t>
  </si>
  <si>
    <t>0x04b8</t>
  </si>
  <si>
    <t>0x0568</t>
  </si>
  <si>
    <t>0x0618</t>
  </si>
  <si>
    <t>0x06c8</t>
  </si>
  <si>
    <t>0x0778</t>
  </si>
  <si>
    <t>0x0828</t>
  </si>
  <si>
    <t>0x08d8</t>
  </si>
  <si>
    <t>0x0494</t>
  </si>
  <si>
    <t>0x0544</t>
  </si>
  <si>
    <t>0x05f4</t>
  </si>
  <si>
    <t>0x06a4</t>
  </si>
  <si>
    <t>0x0754</t>
  </si>
  <si>
    <t>0x0804</t>
  </si>
  <si>
    <t>0x08b4</t>
  </si>
  <si>
    <t>0x0964</t>
  </si>
  <si>
    <t>0x0498</t>
  </si>
  <si>
    <t>0x0548</t>
  </si>
  <si>
    <t>0x05f8</t>
  </si>
  <si>
    <t>0x06a8</t>
  </si>
  <si>
    <t>0x0758</t>
  </si>
  <si>
    <t>0x0808</t>
  </si>
  <si>
    <t>0x08b8</t>
  </si>
  <si>
    <t>0x0968</t>
  </si>
  <si>
    <t>0x049c</t>
  </si>
  <si>
    <t>0x054c</t>
  </si>
  <si>
    <t>0x05fc</t>
  </si>
  <si>
    <t>0x06ac</t>
  </si>
  <si>
    <t>0x075c</t>
  </si>
  <si>
    <t>0x080c</t>
  </si>
  <si>
    <t>0x08bc</t>
  </si>
  <si>
    <t>0x096c</t>
  </si>
  <si>
    <t>0x04a0</t>
  </si>
  <si>
    <t>0x0550</t>
  </si>
  <si>
    <t>0x0600</t>
  </si>
  <si>
    <t>0x06b0</t>
  </si>
  <si>
    <t>0x0760</t>
  </si>
  <si>
    <t>0x0810</t>
  </si>
  <si>
    <t>0x08c0</t>
  </si>
  <si>
    <t>0x0970</t>
  </si>
  <si>
    <t>0x2c20000c</t>
  </si>
  <si>
    <t>[7:0]</t>
  </si>
  <si>
    <t>0x2c200010</t>
  </si>
  <si>
    <t>0x2c200008</t>
  </si>
  <si>
    <t>[2]</t>
  </si>
  <si>
    <t>0x2c200189</t>
  </si>
  <si>
    <t>[3:0]</t>
  </si>
  <si>
    <t>0xf</t>
  </si>
  <si>
    <t>[0]</t>
  </si>
  <si>
    <t>0x2c200185</t>
  </si>
  <si>
    <t>0x1f</t>
  </si>
  <si>
    <t>[5]</t>
  </si>
  <si>
    <t>[4]</t>
  </si>
  <si>
    <t>WL</t>
    <phoneticPr fontId="1" type="noConversion"/>
  </si>
  <si>
    <t>RTP</t>
    <phoneticPr fontId="1" type="noConversion"/>
  </si>
  <si>
    <t>tZQoper</t>
    <phoneticPr fontId="1" type="noConversion"/>
  </si>
  <si>
    <t>tXS_FAST</t>
    <phoneticPr fontId="1" type="noConversion"/>
  </si>
  <si>
    <t>tCKSRE</t>
    <phoneticPr fontId="1" type="noConversion"/>
  </si>
  <si>
    <t>tCKE</t>
    <phoneticPr fontId="1" type="noConversion"/>
  </si>
  <si>
    <t>tSTAB</t>
    <phoneticPr fontId="1" type="noConversion"/>
  </si>
  <si>
    <t>UMCTL2</t>
    <phoneticPr fontId="1" type="noConversion"/>
  </si>
  <si>
    <t>0x2C100000</t>
    <phoneticPr fontId="1" type="noConversion"/>
  </si>
  <si>
    <t>[31:30]</t>
    <phoneticPr fontId="1" type="noConversion"/>
  </si>
  <si>
    <t>[13:12]</t>
    <phoneticPr fontId="1" type="noConversion"/>
  </si>
  <si>
    <t>0x0</t>
    <phoneticPr fontId="1" type="noConversion"/>
  </si>
  <si>
    <t>[9]</t>
    <phoneticPr fontId="1" type="noConversion"/>
  </si>
  <si>
    <t>BURSTMODE</t>
    <phoneticPr fontId="1" type="noConversion"/>
  </si>
  <si>
    <t>[8]</t>
    <phoneticPr fontId="1" type="noConversion"/>
  </si>
  <si>
    <t>MRCTRL0</t>
    <phoneticPr fontId="1" type="noConversion"/>
  </si>
  <si>
    <t>0x0010</t>
    <phoneticPr fontId="1" type="noConversion"/>
  </si>
  <si>
    <t>[31]</t>
    <phoneticPr fontId="1" type="noConversion"/>
  </si>
  <si>
    <t>MR_ADDR</t>
    <phoneticPr fontId="1" type="noConversion"/>
  </si>
  <si>
    <t>PWRTMG</t>
    <phoneticPr fontId="1" type="noConversion"/>
  </si>
  <si>
    <t>HWLPCTL</t>
    <phoneticPr fontId="1" type="noConversion"/>
  </si>
  <si>
    <t>HW_LP_EXIT_IDLE_EN</t>
    <phoneticPr fontId="1" type="noConversion"/>
  </si>
  <si>
    <t>POST_CKE_X1024</t>
    <phoneticPr fontId="1" type="noConversion"/>
  </si>
  <si>
    <t>DRAM_RSTN_X1024</t>
    <phoneticPr fontId="1" type="noConversion"/>
  </si>
  <si>
    <t>[24:16]</t>
    <phoneticPr fontId="1" type="noConversion"/>
  </si>
  <si>
    <t>0x00E0</t>
    <phoneticPr fontId="1" type="noConversion"/>
  </si>
  <si>
    <t>INIT5</t>
    <phoneticPr fontId="1" type="noConversion"/>
  </si>
  <si>
    <t>0x00E8</t>
    <phoneticPr fontId="1" type="noConversion"/>
  </si>
  <si>
    <t>[13:8]</t>
    <phoneticPr fontId="1" type="noConversion"/>
  </si>
  <si>
    <t>DFI_ERR_INT_EN</t>
    <phoneticPr fontId="1" type="noConversion"/>
  </si>
  <si>
    <t>[4]</t>
    <phoneticPr fontId="1" type="noConversion"/>
  </si>
  <si>
    <t>DIS_HIF</t>
    <phoneticPr fontId="1" type="noConversion"/>
  </si>
  <si>
    <t>PORT_EN</t>
    <phoneticPr fontId="1" type="noConversion"/>
  </si>
  <si>
    <t>PCTRL_3</t>
  </si>
  <si>
    <t>PCTRL_4</t>
  </si>
  <si>
    <t>ADDRMAP_BANK_B2</t>
    <phoneticPr fontId="1" type="noConversion"/>
  </si>
  <si>
    <t>[21:16]</t>
    <phoneticPr fontId="1" type="noConversion"/>
  </si>
  <si>
    <t>0x1F</t>
    <phoneticPr fontId="1" type="noConversion"/>
  </si>
  <si>
    <t>ADDRMAP_BANK_B1</t>
    <phoneticPr fontId="1" type="noConversion"/>
  </si>
  <si>
    <t>0x9</t>
    <phoneticPr fontId="1" type="noConversion"/>
  </si>
  <si>
    <t>ADDRMAP_BANK_B0</t>
    <phoneticPr fontId="1" type="noConversion"/>
  </si>
  <si>
    <t>ADDRMAP_COL_B4</t>
    <phoneticPr fontId="1" type="noConversion"/>
  </si>
  <si>
    <t>0x1</t>
    <phoneticPr fontId="1" type="noConversion"/>
  </si>
  <si>
    <t>ADDRMAP_COL_B3</t>
    <phoneticPr fontId="1" type="noConversion"/>
  </si>
  <si>
    <t>[12:8]</t>
    <phoneticPr fontId="1" type="noConversion"/>
  </si>
  <si>
    <t>ADDRMAP_COL_B2</t>
    <phoneticPr fontId="1" type="noConversion"/>
  </si>
  <si>
    <t>0x0</t>
    <phoneticPr fontId="1" type="noConversion"/>
  </si>
  <si>
    <t>ADDRMAP_COL_B9</t>
    <phoneticPr fontId="1" type="noConversion"/>
  </si>
  <si>
    <t>[28:24]</t>
    <phoneticPr fontId="1" type="noConversion"/>
  </si>
  <si>
    <t>ADDRMAP_COL_B8</t>
    <phoneticPr fontId="1" type="noConversion"/>
  </si>
  <si>
    <t>0x1</t>
    <phoneticPr fontId="1" type="noConversion"/>
  </si>
  <si>
    <t>ADDRMAP_COL_B7</t>
    <phoneticPr fontId="1" type="noConversion"/>
  </si>
  <si>
    <t>ADDRMAP_COL_B6</t>
    <phoneticPr fontId="1" type="noConversion"/>
  </si>
  <si>
    <t>[4:0]</t>
    <phoneticPr fontId="1" type="noConversion"/>
  </si>
  <si>
    <t>ADDRMAP_COL_B11</t>
    <phoneticPr fontId="1" type="noConversion"/>
  </si>
  <si>
    <t>ADDRMAP_COL_B10</t>
    <phoneticPr fontId="1" type="noConversion"/>
  </si>
  <si>
    <t>ADDRMAP_ROW_B11</t>
    <phoneticPr fontId="1" type="noConversion"/>
  </si>
  <si>
    <t>0x7</t>
    <phoneticPr fontId="1" type="noConversion"/>
  </si>
  <si>
    <t>0x7</t>
    <phoneticPr fontId="1" type="noConversion"/>
  </si>
  <si>
    <t>ADDRMAP_ROW_B2_B10</t>
    <phoneticPr fontId="1" type="noConversion"/>
  </si>
  <si>
    <t>0x7</t>
    <phoneticPr fontId="1" type="noConversion"/>
  </si>
  <si>
    <t>ADDRMAP_ROW_B1</t>
    <phoneticPr fontId="1" type="noConversion"/>
  </si>
  <si>
    <t>ADDRMAP_ROW_B0</t>
    <phoneticPr fontId="1" type="noConversion"/>
  </si>
  <si>
    <t>ADDRMAP_ROW_B15</t>
    <phoneticPr fontId="1" type="noConversion"/>
  </si>
  <si>
    <t>ADDRMAP_ROW_B14</t>
    <phoneticPr fontId="1" type="noConversion"/>
  </si>
  <si>
    <t>ADDRMAP_ROW_B13</t>
    <phoneticPr fontId="1" type="noConversion"/>
  </si>
  <si>
    <t>ADDRMAP_ROW_B12</t>
    <phoneticPr fontId="1" type="noConversion"/>
  </si>
  <si>
    <t>ADDRMAP_ROW_B17</t>
    <phoneticPr fontId="1" type="noConversion"/>
  </si>
  <si>
    <t>ADDRMAP_ROW_B16</t>
    <phoneticPr fontId="1" type="noConversion"/>
  </si>
  <si>
    <t>ADDRMAP_BG_B1</t>
    <phoneticPr fontId="1" type="noConversion"/>
  </si>
  <si>
    <t>0x3F</t>
    <phoneticPr fontId="1" type="noConversion"/>
  </si>
  <si>
    <t>ADDRMAP_BG_B0</t>
    <phoneticPr fontId="1" type="noConversion"/>
  </si>
  <si>
    <t>DDR data rate (Mbps)</t>
    <phoneticPr fontId="1" type="noConversion"/>
  </si>
  <si>
    <t>MR0</t>
    <phoneticPr fontId="1" type="noConversion"/>
  </si>
  <si>
    <t>MR1</t>
    <phoneticPr fontId="1" type="noConversion"/>
  </si>
  <si>
    <t>MR2</t>
    <phoneticPr fontId="1" type="noConversion"/>
  </si>
  <si>
    <t>MR3</t>
    <phoneticPr fontId="1" type="noConversion"/>
  </si>
  <si>
    <t>0x200</t>
    <phoneticPr fontId="1" type="noConversion"/>
  </si>
  <si>
    <t>MR4</t>
    <phoneticPr fontId="1" type="noConversion"/>
  </si>
  <si>
    <t>MR4</t>
    <phoneticPr fontId="1" type="noConversion"/>
  </si>
  <si>
    <t>0x0</t>
    <phoneticPr fontId="1" type="noConversion"/>
  </si>
  <si>
    <t>MR5</t>
    <phoneticPr fontId="1" type="noConversion"/>
  </si>
  <si>
    <t>MR5</t>
    <phoneticPr fontId="1" type="noConversion"/>
  </si>
  <si>
    <t>MR6</t>
    <phoneticPr fontId="1" type="noConversion"/>
  </si>
  <si>
    <t>AL</t>
    <phoneticPr fontId="1" type="noConversion"/>
  </si>
  <si>
    <t>PL</t>
    <phoneticPr fontId="1" type="noConversion"/>
  </si>
  <si>
    <t>CL</t>
    <phoneticPr fontId="1" type="noConversion"/>
  </si>
  <si>
    <t>CL_DBI</t>
    <phoneticPr fontId="1" type="noConversion"/>
  </si>
  <si>
    <t>CWL</t>
    <phoneticPr fontId="1" type="noConversion"/>
  </si>
  <si>
    <t>BL</t>
    <phoneticPr fontId="1" type="noConversion"/>
  </si>
  <si>
    <t>RL</t>
    <phoneticPr fontId="1" type="noConversion"/>
  </si>
  <si>
    <t>WR</t>
    <phoneticPr fontId="1" type="noConversion"/>
  </si>
  <si>
    <t>tREFI</t>
    <phoneticPr fontId="1" type="noConversion"/>
  </si>
  <si>
    <t>RD_Preamble</t>
    <phoneticPr fontId="1" type="noConversion"/>
  </si>
  <si>
    <t>WR_Preamble</t>
    <phoneticPr fontId="1" type="noConversion"/>
  </si>
  <si>
    <t>DRAM_RESET_ASSERT</t>
    <phoneticPr fontId="1" type="noConversion"/>
  </si>
  <si>
    <t>tRCD</t>
    <phoneticPr fontId="1" type="noConversion"/>
  </si>
  <si>
    <t>tRP</t>
    <phoneticPr fontId="1" type="noConversion"/>
  </si>
  <si>
    <t>tRAS_min</t>
    <phoneticPr fontId="1" type="noConversion"/>
  </si>
  <si>
    <t>tRAS_max</t>
    <phoneticPr fontId="1" type="noConversion"/>
  </si>
  <si>
    <t>tRC</t>
    <phoneticPr fontId="1" type="noConversion"/>
  </si>
  <si>
    <t>tCCD_L</t>
    <phoneticPr fontId="1" type="noConversion"/>
  </si>
  <si>
    <t>tCCD_S</t>
    <phoneticPr fontId="1" type="noConversion"/>
  </si>
  <si>
    <t>tRRD_S(2K)</t>
    <phoneticPr fontId="1" type="noConversion"/>
  </si>
  <si>
    <t>tRRD_L(2K)</t>
    <phoneticPr fontId="1" type="noConversion"/>
  </si>
  <si>
    <t>tFAW_2K</t>
    <phoneticPr fontId="1" type="noConversion"/>
  </si>
  <si>
    <t>tWTR_S</t>
    <phoneticPr fontId="1" type="noConversion"/>
  </si>
  <si>
    <t>tWTR_L</t>
    <phoneticPr fontId="1" type="noConversion"/>
  </si>
  <si>
    <t>tRTP</t>
    <phoneticPr fontId="1" type="noConversion"/>
  </si>
  <si>
    <t>tWR</t>
    <phoneticPr fontId="1" type="noConversion"/>
  </si>
  <si>
    <t>tDLLK</t>
    <phoneticPr fontId="1" type="noConversion"/>
  </si>
  <si>
    <t>tMRD</t>
    <phoneticPr fontId="1" type="noConversion"/>
  </si>
  <si>
    <t>tMOD</t>
    <phoneticPr fontId="1" type="noConversion"/>
  </si>
  <si>
    <t>tZQCS</t>
    <phoneticPr fontId="1" type="noConversion"/>
  </si>
  <si>
    <t>tXPR</t>
    <phoneticPr fontId="1" type="noConversion"/>
  </si>
  <si>
    <t>tXS</t>
    <phoneticPr fontId="1" type="noConversion"/>
  </si>
  <si>
    <t>tXS_DLL</t>
    <phoneticPr fontId="1" type="noConversion"/>
  </si>
  <si>
    <t>tCKESR</t>
    <phoneticPr fontId="1" type="noConversion"/>
  </si>
  <si>
    <t>tCKSRX</t>
    <phoneticPr fontId="1" type="noConversion"/>
  </si>
  <si>
    <t>tXP</t>
    <phoneticPr fontId="1" type="noConversion"/>
  </si>
  <si>
    <t>tRFC_min</t>
    <phoneticPr fontId="1" type="noConversion"/>
  </si>
  <si>
    <t>tRFC2_min</t>
    <phoneticPr fontId="1" type="noConversion"/>
  </si>
  <si>
    <t>tRFC4_min</t>
    <phoneticPr fontId="1" type="noConversion"/>
  </si>
  <si>
    <t>dfi_tphy_wrlat</t>
    <phoneticPr fontId="1" type="noConversion"/>
  </si>
  <si>
    <t>dfi_t_rddata_en</t>
    <phoneticPr fontId="1" type="noConversion"/>
  </si>
  <si>
    <t>dfi_t_ctrl_delay</t>
    <phoneticPr fontId="1" type="noConversion"/>
  </si>
  <si>
    <t>dfi_t_phy_wrdata</t>
    <phoneticPr fontId="1" type="noConversion"/>
  </si>
  <si>
    <t>dfi_t_phy_rdlat</t>
    <phoneticPr fontId="1" type="noConversion"/>
  </si>
  <si>
    <t>dfi_t_wdata_delay</t>
    <phoneticPr fontId="1" type="noConversion"/>
  </si>
  <si>
    <t>dfi_t_dram_clk_disable</t>
    <phoneticPr fontId="1" type="noConversion"/>
  </si>
  <si>
    <t>dfi_t_dram_clk_enable</t>
    <phoneticPr fontId="1" type="noConversion"/>
  </si>
  <si>
    <t>Module Name</t>
    <phoneticPr fontId="1" type="noConversion"/>
  </si>
  <si>
    <t>Base Address</t>
    <phoneticPr fontId="1" type="noConversion"/>
  </si>
  <si>
    <t>Offset Address</t>
    <phoneticPr fontId="1" type="noConversion"/>
  </si>
  <si>
    <t>Bits Name</t>
    <phoneticPr fontId="1" type="noConversion"/>
  </si>
  <si>
    <t>Bits Pos</t>
    <phoneticPr fontId="1" type="noConversion"/>
  </si>
  <si>
    <t>Register Value</t>
    <phoneticPr fontId="1" type="noConversion"/>
  </si>
  <si>
    <t>MSTR</t>
    <phoneticPr fontId="1" type="noConversion"/>
  </si>
  <si>
    <t>0x0000</t>
    <phoneticPr fontId="1" type="noConversion"/>
  </si>
  <si>
    <t>DEVICE_CONFIG</t>
    <phoneticPr fontId="1" type="noConversion"/>
  </si>
  <si>
    <t>0x3</t>
    <phoneticPr fontId="1" type="noConversion"/>
  </si>
  <si>
    <t>BURST_RDWR</t>
    <phoneticPr fontId="1" type="noConversion"/>
  </si>
  <si>
    <t>[19:16]</t>
    <phoneticPr fontId="1" type="noConversion"/>
  </si>
  <si>
    <t>0x4</t>
    <phoneticPr fontId="1" type="noConversion"/>
  </si>
  <si>
    <t>DLL_OFF_MODE</t>
    <phoneticPr fontId="1" type="noConversion"/>
  </si>
  <si>
    <t>[15]</t>
    <phoneticPr fontId="1" type="noConversion"/>
  </si>
  <si>
    <t>DATA_BUS_WIDTH</t>
    <phoneticPr fontId="1" type="noConversion"/>
  </si>
  <si>
    <t>GEARDWON_MODE</t>
    <phoneticPr fontId="1" type="noConversion"/>
  </si>
  <si>
    <t>EN_2T_TIMING_MODE</t>
    <phoneticPr fontId="1" type="noConversion"/>
  </si>
  <si>
    <t>[10]</t>
    <phoneticPr fontId="1" type="noConversion"/>
  </si>
  <si>
    <t>0x1</t>
    <phoneticPr fontId="1" type="noConversion"/>
  </si>
  <si>
    <t>BURSTCHOP</t>
    <phoneticPr fontId="1" type="noConversion"/>
  </si>
  <si>
    <t>DDR_TYPE</t>
    <phoneticPr fontId="1" type="noConversion"/>
  </si>
  <si>
    <t>[5:0]</t>
    <phoneticPr fontId="1" type="noConversion"/>
  </si>
  <si>
    <t>0x10</t>
    <phoneticPr fontId="1" type="noConversion"/>
  </si>
  <si>
    <t>MR_WR</t>
    <phoneticPr fontId="1" type="noConversion"/>
  </si>
  <si>
    <t>[31]</t>
    <phoneticPr fontId="1" type="noConversion"/>
  </si>
  <si>
    <t>[15:12]</t>
    <phoneticPr fontId="1" type="noConversion"/>
  </si>
  <si>
    <t>MR_RANK</t>
    <phoneticPr fontId="1" type="noConversion"/>
  </si>
  <si>
    <t>[11:4]</t>
    <phoneticPr fontId="1" type="noConversion"/>
  </si>
  <si>
    <t>MRCTRL1</t>
    <phoneticPr fontId="1" type="noConversion"/>
  </si>
  <si>
    <t>0x0014</t>
    <phoneticPr fontId="1" type="noConversion"/>
  </si>
  <si>
    <t>MR_DATA</t>
    <phoneticPr fontId="1" type="noConversion"/>
  </si>
  <si>
    <t>[15:0]</t>
    <phoneticPr fontId="1" type="noConversion"/>
  </si>
  <si>
    <t>0x0034</t>
    <phoneticPr fontId="1" type="noConversion"/>
  </si>
  <si>
    <t>SELFREF_TO_X32</t>
    <phoneticPr fontId="1" type="noConversion"/>
  </si>
  <si>
    <t>[23:16]</t>
    <phoneticPr fontId="1" type="noConversion"/>
  </si>
  <si>
    <t>POWERDOWN_TO_X32</t>
    <phoneticPr fontId="1" type="noConversion"/>
  </si>
  <si>
    <t>[4:0]</t>
    <phoneticPr fontId="1" type="noConversion"/>
  </si>
  <si>
    <t>0x0038</t>
    <phoneticPr fontId="1" type="noConversion"/>
  </si>
  <si>
    <t>HW_LP_IDLE_X32</t>
    <phoneticPr fontId="1" type="noConversion"/>
  </si>
  <si>
    <t>[27:16]</t>
    <phoneticPr fontId="1" type="noConversion"/>
  </si>
  <si>
    <t>0x125</t>
    <phoneticPr fontId="1" type="noConversion"/>
  </si>
  <si>
    <t>HW_LP_EN</t>
    <phoneticPr fontId="1" type="noConversion"/>
  </si>
  <si>
    <t>0x1</t>
    <phoneticPr fontId="1" type="noConversion"/>
  </si>
  <si>
    <t>INIT0</t>
    <phoneticPr fontId="1" type="noConversion"/>
  </si>
  <si>
    <t>0x00D0</t>
    <phoneticPr fontId="1" type="noConversion"/>
  </si>
  <si>
    <t>SKIP_DRAM_INIT</t>
    <phoneticPr fontId="1" type="noConversion"/>
  </si>
  <si>
    <t>[31:30]</t>
    <phoneticPr fontId="1" type="noConversion"/>
  </si>
  <si>
    <t>[25:16]</t>
    <phoneticPr fontId="1" type="noConversion"/>
  </si>
  <si>
    <t>PRE_CKE_X1024</t>
    <phoneticPr fontId="1" type="noConversion"/>
  </si>
  <si>
    <t>[11:0]</t>
    <phoneticPr fontId="1" type="noConversion"/>
  </si>
  <si>
    <t>INIT1</t>
    <phoneticPr fontId="1" type="noConversion"/>
  </si>
  <si>
    <t>0x00D4</t>
    <phoneticPr fontId="1" type="noConversion"/>
  </si>
  <si>
    <t>PRE_OCD_X32</t>
    <phoneticPr fontId="1" type="noConversion"/>
  </si>
  <si>
    <t>[3:0]</t>
    <phoneticPr fontId="1" type="noConversion"/>
  </si>
  <si>
    <t>0x0</t>
    <phoneticPr fontId="1" type="noConversion"/>
  </si>
  <si>
    <t>INIT3</t>
    <phoneticPr fontId="1" type="noConversion"/>
  </si>
  <si>
    <t>0x00DC</t>
    <phoneticPr fontId="1" type="noConversion"/>
  </si>
  <si>
    <t>MR</t>
    <phoneticPr fontId="1" type="noConversion"/>
  </si>
  <si>
    <t>[31:16]</t>
    <phoneticPr fontId="1" type="noConversion"/>
  </si>
  <si>
    <t>EMR</t>
    <phoneticPr fontId="1" type="noConversion"/>
  </si>
  <si>
    <t>[15:0]</t>
    <phoneticPr fontId="1" type="noConversion"/>
  </si>
  <si>
    <t>INIT4</t>
    <phoneticPr fontId="1" type="noConversion"/>
  </si>
  <si>
    <t>EMR2</t>
    <phoneticPr fontId="1" type="noConversion"/>
  </si>
  <si>
    <t>[31:16]</t>
    <phoneticPr fontId="1" type="noConversion"/>
  </si>
  <si>
    <t>EMR3</t>
    <phoneticPr fontId="1" type="noConversion"/>
  </si>
  <si>
    <t>0x00E4</t>
    <phoneticPr fontId="1" type="noConversion"/>
  </si>
  <si>
    <t>DEV_ZQINIT_X32</t>
    <phoneticPr fontId="1" type="noConversion"/>
  </si>
  <si>
    <t>INIT6</t>
    <phoneticPr fontId="1" type="noConversion"/>
  </si>
  <si>
    <t>INIT7</t>
    <phoneticPr fontId="1" type="noConversion"/>
  </si>
  <si>
    <t>0x00EC</t>
    <phoneticPr fontId="1" type="noConversion"/>
  </si>
  <si>
    <t>[15:0]</t>
    <phoneticPr fontId="1" type="noConversion"/>
  </si>
  <si>
    <t>DIMMCTL</t>
    <phoneticPr fontId="1" type="noConversion"/>
  </si>
  <si>
    <t>0x00F0</t>
    <phoneticPr fontId="1" type="noConversion"/>
  </si>
  <si>
    <t>DIMM_ADDR_MIRR_EN</t>
    <phoneticPr fontId="1" type="noConversion"/>
  </si>
  <si>
    <t>[1]</t>
    <phoneticPr fontId="1" type="noConversion"/>
  </si>
  <si>
    <t>DIMM_STAGGER_CS_EN</t>
    <phoneticPr fontId="1" type="noConversion"/>
  </si>
  <si>
    <t>[0]</t>
    <phoneticPr fontId="1" type="noConversion"/>
  </si>
  <si>
    <t>DRAMTMG0</t>
    <phoneticPr fontId="1" type="noConversion"/>
  </si>
  <si>
    <t>0x0100</t>
    <phoneticPr fontId="1" type="noConversion"/>
  </si>
  <si>
    <t>WR2PRE</t>
    <phoneticPr fontId="1" type="noConversion"/>
  </si>
  <si>
    <t>[30:24]</t>
    <phoneticPr fontId="1" type="noConversion"/>
  </si>
  <si>
    <t>T_FAW</t>
    <phoneticPr fontId="1" type="noConversion"/>
  </si>
  <si>
    <t>[21:16]</t>
    <phoneticPr fontId="1" type="noConversion"/>
  </si>
  <si>
    <t>T_RAS_MAX</t>
    <phoneticPr fontId="1" type="noConversion"/>
  </si>
  <si>
    <t>[14:8]</t>
    <phoneticPr fontId="1" type="noConversion"/>
  </si>
  <si>
    <t>T_RAS_MIN</t>
    <phoneticPr fontId="1" type="noConversion"/>
  </si>
  <si>
    <t>[5:0]</t>
    <phoneticPr fontId="1" type="noConversion"/>
  </si>
  <si>
    <t>DRAMTMG1</t>
    <phoneticPr fontId="1" type="noConversion"/>
  </si>
  <si>
    <t>0x0104</t>
    <phoneticPr fontId="1" type="noConversion"/>
  </si>
  <si>
    <t>T_XP</t>
    <phoneticPr fontId="1" type="noConversion"/>
  </si>
  <si>
    <t>RD2PRE</t>
    <phoneticPr fontId="1" type="noConversion"/>
  </si>
  <si>
    <t>[13:8]</t>
    <phoneticPr fontId="1" type="noConversion"/>
  </si>
  <si>
    <t>T_RC</t>
    <phoneticPr fontId="1" type="noConversion"/>
  </si>
  <si>
    <t>[6:0]</t>
    <phoneticPr fontId="1" type="noConversion"/>
  </si>
  <si>
    <t>DRAMTMG2</t>
    <phoneticPr fontId="1" type="noConversion"/>
  </si>
  <si>
    <t>0x0108</t>
    <phoneticPr fontId="1" type="noConversion"/>
  </si>
  <si>
    <t>WRITE_LATENCY</t>
    <phoneticPr fontId="1" type="noConversion"/>
  </si>
  <si>
    <t>[29:24]</t>
    <phoneticPr fontId="1" type="noConversion"/>
  </si>
  <si>
    <t>READ_LATENCY</t>
    <phoneticPr fontId="1" type="noConversion"/>
  </si>
  <si>
    <t>RD2WR</t>
    <phoneticPr fontId="1" type="noConversion"/>
  </si>
  <si>
    <t>WR2RD</t>
    <phoneticPr fontId="1" type="noConversion"/>
  </si>
  <si>
    <t>DRAMTMG3</t>
    <phoneticPr fontId="1" type="noConversion"/>
  </si>
  <si>
    <t>0x010C</t>
    <phoneticPr fontId="1" type="noConversion"/>
  </si>
  <si>
    <t>T_MRD</t>
    <phoneticPr fontId="1" type="noConversion"/>
  </si>
  <si>
    <t>[17:12]</t>
    <phoneticPr fontId="1" type="noConversion"/>
  </si>
  <si>
    <t>T_MOD</t>
    <phoneticPr fontId="1" type="noConversion"/>
  </si>
  <si>
    <t>[9:0]</t>
    <phoneticPr fontId="1" type="noConversion"/>
  </si>
  <si>
    <t>DRAMTMG4</t>
    <phoneticPr fontId="1" type="noConversion"/>
  </si>
  <si>
    <t>0x0110</t>
    <phoneticPr fontId="1" type="noConversion"/>
  </si>
  <si>
    <t>T_RCD</t>
    <phoneticPr fontId="1" type="noConversion"/>
  </si>
  <si>
    <t>[28:24]</t>
    <phoneticPr fontId="1" type="noConversion"/>
  </si>
  <si>
    <t>T_CCD</t>
    <phoneticPr fontId="1" type="noConversion"/>
  </si>
  <si>
    <t>T_RRD</t>
    <phoneticPr fontId="1" type="noConversion"/>
  </si>
  <si>
    <t>[11:8]</t>
    <phoneticPr fontId="1" type="noConversion"/>
  </si>
  <si>
    <t>T_RP</t>
    <phoneticPr fontId="1" type="noConversion"/>
  </si>
  <si>
    <t>[4:0]</t>
    <phoneticPr fontId="1" type="noConversion"/>
  </si>
  <si>
    <t>DRAMTMG5</t>
    <phoneticPr fontId="1" type="noConversion"/>
  </si>
  <si>
    <t>0x0114</t>
    <phoneticPr fontId="1" type="noConversion"/>
  </si>
  <si>
    <t>[27:24]</t>
    <phoneticPr fontId="1" type="noConversion"/>
  </si>
  <si>
    <t>T_CKSRE</t>
    <phoneticPr fontId="1" type="noConversion"/>
  </si>
  <si>
    <t>T_CKESR</t>
    <phoneticPr fontId="1" type="noConversion"/>
  </si>
  <si>
    <t>T_CKE</t>
    <phoneticPr fontId="1" type="noConversion"/>
  </si>
  <si>
    <t>DRAMTMG8</t>
    <phoneticPr fontId="1" type="noConversion"/>
  </si>
  <si>
    <t>0x0120</t>
    <phoneticPr fontId="1" type="noConversion"/>
  </si>
  <si>
    <t>T_XS_DLL_X32</t>
    <phoneticPr fontId="1" type="noConversion"/>
  </si>
  <si>
    <t>T_XS_X32</t>
    <phoneticPr fontId="1" type="noConversion"/>
  </si>
  <si>
    <t>DRAMTMG9</t>
    <phoneticPr fontId="1" type="noConversion"/>
  </si>
  <si>
    <t>0x3124</t>
    <phoneticPr fontId="1" type="noConversion"/>
  </si>
  <si>
    <t>DDR4_WR_PREAMBLE</t>
    <phoneticPr fontId="1" type="noConversion"/>
  </si>
  <si>
    <t>[30]</t>
    <phoneticPr fontId="1" type="noConversion"/>
  </si>
  <si>
    <t>[30]</t>
    <phoneticPr fontId="1" type="noConversion"/>
  </si>
  <si>
    <t>T_CCD_S</t>
    <phoneticPr fontId="1" type="noConversion"/>
  </si>
  <si>
    <t>T_RRD_S</t>
    <phoneticPr fontId="1" type="noConversion"/>
  </si>
  <si>
    <t>WR2RD_S</t>
    <phoneticPr fontId="1" type="noConversion"/>
  </si>
  <si>
    <t>DRAMTMG15</t>
    <phoneticPr fontId="1" type="noConversion"/>
  </si>
  <si>
    <t>0x013C</t>
    <phoneticPr fontId="1" type="noConversion"/>
  </si>
  <si>
    <t>EN_DFI_LP_T_STAB</t>
    <phoneticPr fontId="1" type="noConversion"/>
  </si>
  <si>
    <t>T_STAB_X32</t>
    <phoneticPr fontId="1" type="noConversion"/>
  </si>
  <si>
    <t>[7:0]</t>
    <phoneticPr fontId="1" type="noConversion"/>
  </si>
  <si>
    <t>ZQCTL1</t>
    <phoneticPr fontId="1" type="noConversion"/>
  </si>
  <si>
    <t>0x0184</t>
    <phoneticPr fontId="1" type="noConversion"/>
  </si>
  <si>
    <t>T_ZQ_SHORT_INTERVAL_X1024</t>
    <phoneticPr fontId="1" type="noConversion"/>
  </si>
  <si>
    <t>[19:0]</t>
    <phoneticPr fontId="1" type="noConversion"/>
  </si>
  <si>
    <t>DFITMG0</t>
    <phoneticPr fontId="1" type="noConversion"/>
  </si>
  <si>
    <t>0x0190</t>
    <phoneticPr fontId="1" type="noConversion"/>
  </si>
  <si>
    <t>DFI_T_CTRL_DELAY</t>
    <phoneticPr fontId="1" type="noConversion"/>
  </si>
  <si>
    <t>DFI_RDDATA_USE_DFI_PHY_CLK</t>
    <phoneticPr fontId="1" type="noConversion"/>
  </si>
  <si>
    <t>[23]</t>
    <phoneticPr fontId="1" type="noConversion"/>
  </si>
  <si>
    <t>DFI_T_RDDATA_EN</t>
    <phoneticPr fontId="1" type="noConversion"/>
  </si>
  <si>
    <t>[22:16]</t>
    <phoneticPr fontId="1" type="noConversion"/>
  </si>
  <si>
    <t>DFI_WRDATA_USE_DFI_PHY_CLK</t>
    <phoneticPr fontId="1" type="noConversion"/>
  </si>
  <si>
    <t>[15]</t>
    <phoneticPr fontId="1" type="noConversion"/>
  </si>
  <si>
    <t>DFI_TPHY_WRDATA</t>
    <phoneticPr fontId="1" type="noConversion"/>
  </si>
  <si>
    <t>DFI_TPHY_WRLAT</t>
    <phoneticPr fontId="1" type="noConversion"/>
  </si>
  <si>
    <t>DFITMG1</t>
    <phoneticPr fontId="1" type="noConversion"/>
  </si>
  <si>
    <t>0x0194</t>
    <phoneticPr fontId="1" type="noConversion"/>
  </si>
  <si>
    <t>DFI_T_CMD_LAT</t>
    <phoneticPr fontId="1" type="noConversion"/>
  </si>
  <si>
    <t>[31:28]</t>
    <phoneticPr fontId="1" type="noConversion"/>
  </si>
  <si>
    <t>DFI_T_PARIN_LAT</t>
    <phoneticPr fontId="1" type="noConversion"/>
  </si>
  <si>
    <t>[25:24]</t>
    <phoneticPr fontId="1" type="noConversion"/>
  </si>
  <si>
    <t>DFI_T_WRDATA_DELAY</t>
    <phoneticPr fontId="1" type="noConversion"/>
  </si>
  <si>
    <t>[20:16]</t>
    <phoneticPr fontId="1" type="noConversion"/>
  </si>
  <si>
    <t>DFI_T_DRAM_CLK_DISABLE</t>
    <phoneticPr fontId="1" type="noConversion"/>
  </si>
  <si>
    <t>[12:8]</t>
    <phoneticPr fontId="1" type="noConversion"/>
  </si>
  <si>
    <t>DFI_T_DRAM_CLK_ENABLE</t>
    <phoneticPr fontId="1" type="noConversion"/>
  </si>
  <si>
    <t>DFILPCFG0</t>
    <phoneticPr fontId="1" type="noConversion"/>
  </si>
  <si>
    <t>0x0198</t>
    <phoneticPr fontId="1" type="noConversion"/>
  </si>
  <si>
    <t>DFI_TLP_RESP</t>
    <phoneticPr fontId="1" type="noConversion"/>
  </si>
  <si>
    <t>0x7</t>
    <phoneticPr fontId="1" type="noConversion"/>
  </si>
  <si>
    <t>DFI_LP_WAKEUP_DPD</t>
    <phoneticPr fontId="1" type="noConversion"/>
  </si>
  <si>
    <t>[23:20]</t>
    <phoneticPr fontId="1" type="noConversion"/>
  </si>
  <si>
    <t>DFI_LP_EN_DPD</t>
    <phoneticPr fontId="1" type="noConversion"/>
  </si>
  <si>
    <t>[16]</t>
    <phoneticPr fontId="1" type="noConversion"/>
  </si>
  <si>
    <t>DFI_LP_WAKEUP_PD</t>
    <phoneticPr fontId="1" type="noConversion"/>
  </si>
  <si>
    <t>[7:4]</t>
    <phoneticPr fontId="1" type="noConversion"/>
  </si>
  <si>
    <t>0x2</t>
    <phoneticPr fontId="1" type="noConversion"/>
  </si>
  <si>
    <t>DFI_LP_EN_PD</t>
    <phoneticPr fontId="1" type="noConversion"/>
  </si>
  <si>
    <t>DFIUPD0</t>
    <phoneticPr fontId="1" type="noConversion"/>
  </si>
  <si>
    <t>0x01A0</t>
    <phoneticPr fontId="1" type="noConversion"/>
  </si>
  <si>
    <t>DIS_AUTO_CTRLUPD</t>
    <phoneticPr fontId="1" type="noConversion"/>
  </si>
  <si>
    <t>DIS_AUTO_CTRLUPD_SRX</t>
    <phoneticPr fontId="1" type="noConversion"/>
  </si>
  <si>
    <t>CTRLUPD_PRE_SRX</t>
    <phoneticPr fontId="1" type="noConversion"/>
  </si>
  <si>
    <t>[29]</t>
    <phoneticPr fontId="1" type="noConversion"/>
  </si>
  <si>
    <t>DFI_T_CTRLUP_MAX</t>
    <phoneticPr fontId="1" type="noConversion"/>
  </si>
  <si>
    <t>[25:16]</t>
    <phoneticPr fontId="1" type="noConversion"/>
  </si>
  <si>
    <t>0x40</t>
    <phoneticPr fontId="1" type="noConversion"/>
  </si>
  <si>
    <t>DFI_T_CTRLUP_MIN</t>
    <phoneticPr fontId="1" type="noConversion"/>
  </si>
  <si>
    <t>DFIUPD1</t>
    <phoneticPr fontId="1" type="noConversion"/>
  </si>
  <si>
    <t>0x01A4</t>
    <phoneticPr fontId="1" type="noConversion"/>
  </si>
  <si>
    <t>DFI_T_CTRLUPD_INTERVAL_MIN_X1024</t>
    <phoneticPr fontId="1" type="noConversion"/>
  </si>
  <si>
    <t>[23:16]</t>
    <phoneticPr fontId="1" type="noConversion"/>
  </si>
  <si>
    <t>0x2E</t>
    <phoneticPr fontId="1" type="noConversion"/>
  </si>
  <si>
    <t>DFI_T_CTRLUPD_INTERVAL_MAX_X1024</t>
    <phoneticPr fontId="1" type="noConversion"/>
  </si>
  <si>
    <t>0xC4</t>
    <phoneticPr fontId="1" type="noConversion"/>
  </si>
  <si>
    <t>DFIUPD2</t>
    <phoneticPr fontId="1" type="noConversion"/>
  </si>
  <si>
    <t>0x01A8</t>
    <phoneticPr fontId="1" type="noConversion"/>
  </si>
  <si>
    <t>DFI_PHYUPD_EN</t>
    <phoneticPr fontId="1" type="noConversion"/>
  </si>
  <si>
    <t>MR_DATA</t>
    <phoneticPr fontId="1" type="noConversion"/>
  </si>
  <si>
    <t>0x6CDA</t>
    <phoneticPr fontId="1" type="noConversion"/>
  </si>
  <si>
    <t>PWRCTL</t>
    <phoneticPr fontId="1" type="noConversion"/>
  </si>
  <si>
    <t>0x0030</t>
    <phoneticPr fontId="1" type="noConversion"/>
  </si>
  <si>
    <t>DIS_CAM_DRAIN_SELFREF</t>
    <phoneticPr fontId="1" type="noConversion"/>
  </si>
  <si>
    <t>[7]</t>
    <phoneticPr fontId="1" type="noConversion"/>
  </si>
  <si>
    <t>SELFREF_SW</t>
    <phoneticPr fontId="1" type="noConversion"/>
  </si>
  <si>
    <t>[5]</t>
    <phoneticPr fontId="1" type="noConversion"/>
  </si>
  <si>
    <t>EN_DFI_DRAM_CLK_DISABLE</t>
    <phoneticPr fontId="1" type="noConversion"/>
  </si>
  <si>
    <t>[3]</t>
    <phoneticPr fontId="1" type="noConversion"/>
  </si>
  <si>
    <t>POWERDOWN_EN</t>
    <phoneticPr fontId="1" type="noConversion"/>
  </si>
  <si>
    <t>SELFREF_EN</t>
    <phoneticPr fontId="1" type="noConversion"/>
  </si>
  <si>
    <t>RFSHCTL0</t>
    <phoneticPr fontId="1" type="noConversion"/>
  </si>
  <si>
    <t>0x0050</t>
    <phoneticPr fontId="1" type="noConversion"/>
  </si>
  <si>
    <t>REFRESH_MARGIN</t>
    <phoneticPr fontId="1" type="noConversion"/>
  </si>
  <si>
    <t>REFRESH_TO_X1_X32</t>
    <phoneticPr fontId="1" type="noConversion"/>
  </si>
  <si>
    <t>[16:12]</t>
    <phoneticPr fontId="1" type="noConversion"/>
  </si>
  <si>
    <t>0x11</t>
    <phoneticPr fontId="1" type="noConversion"/>
  </si>
  <si>
    <t>REFRESH_BURST</t>
    <phoneticPr fontId="1" type="noConversion"/>
  </si>
  <si>
    <t>[9:4]</t>
    <phoneticPr fontId="1" type="noConversion"/>
  </si>
  <si>
    <t>PER_BANK_REFRESH</t>
    <phoneticPr fontId="1" type="noConversion"/>
  </si>
  <si>
    <t>[2]</t>
    <phoneticPr fontId="1" type="noConversion"/>
  </si>
  <si>
    <t>RFSHCTL3</t>
    <phoneticPr fontId="1" type="noConversion"/>
  </si>
  <si>
    <t>0x0060</t>
    <phoneticPr fontId="1" type="noConversion"/>
  </si>
  <si>
    <t>REFRESH_UPDATE_LEVEL</t>
    <phoneticPr fontId="1" type="noConversion"/>
  </si>
  <si>
    <t>DIS_AUTO_REFRESH</t>
    <phoneticPr fontId="1" type="noConversion"/>
  </si>
  <si>
    <t>RFSHTMG</t>
    <phoneticPr fontId="1" type="noConversion"/>
  </si>
  <si>
    <t>0x0064</t>
    <phoneticPr fontId="1" type="noConversion"/>
  </si>
  <si>
    <t>T_RFC_NOM_X1_X32</t>
    <phoneticPr fontId="1" type="noConversion"/>
  </si>
  <si>
    <t>T_RFC_MIN</t>
    <phoneticPr fontId="1" type="noConversion"/>
  </si>
  <si>
    <t>CRCPARCTL0</t>
    <phoneticPr fontId="1" type="noConversion"/>
  </si>
  <si>
    <t>0x00C0</t>
    <phoneticPr fontId="1" type="noConversion"/>
  </si>
  <si>
    <t>DFI_ALERT_ERR_CNT_CLR</t>
    <phoneticPr fontId="1" type="noConversion"/>
  </si>
  <si>
    <t>DFI_ALERT_ERR_INT_CLR</t>
    <phoneticPr fontId="1" type="noConversion"/>
  </si>
  <si>
    <t>ZQCTL0</t>
    <phoneticPr fontId="1" type="noConversion"/>
  </si>
  <si>
    <t>0x0180</t>
    <phoneticPr fontId="1" type="noConversion"/>
  </si>
  <si>
    <t>DIS_AUTO_ZQ</t>
    <phoneticPr fontId="1" type="noConversion"/>
  </si>
  <si>
    <t>DIS_SRX_ZQCL</t>
    <phoneticPr fontId="1" type="noConversion"/>
  </si>
  <si>
    <t>ZQ_RESISTOR_SHARED</t>
    <phoneticPr fontId="1" type="noConversion"/>
  </si>
  <si>
    <t>T_ZQ_LONG_NOP</t>
    <phoneticPr fontId="1" type="noConversion"/>
  </si>
  <si>
    <t>[26:16]</t>
    <phoneticPr fontId="1" type="noConversion"/>
  </si>
  <si>
    <t>T_ZQ_SHORT_NOP</t>
    <phoneticPr fontId="1" type="noConversion"/>
  </si>
  <si>
    <t>[7:4]</t>
    <phoneticPr fontId="1" type="noConversion"/>
  </si>
  <si>
    <t>DFIMISC</t>
    <phoneticPr fontId="1" type="noConversion"/>
  </si>
  <si>
    <t>0x01B0</t>
    <phoneticPr fontId="1" type="noConversion"/>
  </si>
  <si>
    <t>DFI_FREQUENCY</t>
    <phoneticPr fontId="1" type="noConversion"/>
  </si>
  <si>
    <t>DFI_INIT_START</t>
    <phoneticPr fontId="1" type="noConversion"/>
  </si>
  <si>
    <t>CTL_IDLE_EN</t>
    <phoneticPr fontId="1" type="noConversion"/>
  </si>
  <si>
    <t>[4]</t>
    <phoneticPr fontId="1" type="noConversion"/>
  </si>
  <si>
    <t>DFI_INIT_COMPLETE_EN</t>
    <phoneticPr fontId="1" type="noConversion"/>
  </si>
  <si>
    <t>DFIPHYMSTR</t>
    <phoneticPr fontId="1" type="noConversion"/>
  </si>
  <si>
    <t>0x01C4</t>
    <phoneticPr fontId="1" type="noConversion"/>
  </si>
  <si>
    <t>DFI_PHYMSTR_EN</t>
    <phoneticPr fontId="1" type="noConversion"/>
  </si>
  <si>
    <t>DBG1</t>
    <phoneticPr fontId="1" type="noConversion"/>
  </si>
  <si>
    <t>0x0304</t>
    <phoneticPr fontId="1" type="noConversion"/>
  </si>
  <si>
    <t>DIS_DQ</t>
    <phoneticPr fontId="1" type="noConversion"/>
  </si>
  <si>
    <t>DBGCMD</t>
    <phoneticPr fontId="1" type="noConversion"/>
  </si>
  <si>
    <t>0x030C</t>
    <phoneticPr fontId="1" type="noConversion"/>
  </si>
  <si>
    <t>CTRLUPD</t>
    <phoneticPr fontId="1" type="noConversion"/>
  </si>
  <si>
    <t>ZQ_CALIB_SHORT</t>
    <phoneticPr fontId="1" type="noConversion"/>
  </si>
  <si>
    <t>RANK0_REFRESH</t>
    <phoneticPr fontId="1" type="noConversion"/>
  </si>
  <si>
    <t>POISONCFG</t>
    <phoneticPr fontId="1" type="noConversion"/>
  </si>
  <si>
    <t>0x036C</t>
    <phoneticPr fontId="1" type="noConversion"/>
  </si>
  <si>
    <t>RD_POISON_INTR_CLR</t>
    <phoneticPr fontId="1" type="noConversion"/>
  </si>
  <si>
    <t>[24]</t>
    <phoneticPr fontId="1" type="noConversion"/>
  </si>
  <si>
    <t>RD_POISON_INTR_EN</t>
    <phoneticPr fontId="1" type="noConversion"/>
  </si>
  <si>
    <t>[20]</t>
    <phoneticPr fontId="1" type="noConversion"/>
  </si>
  <si>
    <t>RD_POISON_SLVERR_EN</t>
    <phoneticPr fontId="1" type="noConversion"/>
  </si>
  <si>
    <t>WR_POISON_INTR_CLR</t>
    <phoneticPr fontId="1" type="noConversion"/>
  </si>
  <si>
    <t>[8]</t>
    <phoneticPr fontId="1" type="noConversion"/>
  </si>
  <si>
    <t>WR_POISON_INTR_EN</t>
    <phoneticPr fontId="1" type="noConversion"/>
  </si>
  <si>
    <t>WR_POISON_SLVERR_EN</t>
    <phoneticPr fontId="1" type="noConversion"/>
  </si>
  <si>
    <t>ODTCFG</t>
    <phoneticPr fontId="1" type="noConversion"/>
  </si>
  <si>
    <t>0x0240</t>
    <phoneticPr fontId="1" type="noConversion"/>
  </si>
  <si>
    <t>WR_ODT_HOLD</t>
    <phoneticPr fontId="1" type="noConversion"/>
  </si>
  <si>
    <t>WR_ODT_DELAY</t>
    <phoneticPr fontId="1" type="noConversion"/>
  </si>
  <si>
    <t>RD_ODT_HOLD</t>
    <phoneticPr fontId="1" type="noConversion"/>
  </si>
  <si>
    <t>RD_ODT_DELAY</t>
    <phoneticPr fontId="1" type="noConversion"/>
  </si>
  <si>
    <t>[6:2]</t>
    <phoneticPr fontId="1" type="noConversion"/>
  </si>
  <si>
    <t>ODTMAP</t>
    <phoneticPr fontId="1" type="noConversion"/>
  </si>
  <si>
    <t>RANK0_RD_ODT</t>
    <phoneticPr fontId="1" type="noConversion"/>
  </si>
  <si>
    <t>RANK0_WR_ODT</t>
    <phoneticPr fontId="1" type="noConversion"/>
  </si>
  <si>
    <t>PCTRL_0</t>
    <phoneticPr fontId="1" type="noConversion"/>
  </si>
  <si>
    <t>0x0490</t>
    <phoneticPr fontId="1" type="noConversion"/>
  </si>
  <si>
    <t>PORT_EN</t>
    <phoneticPr fontId="1" type="noConversion"/>
  </si>
  <si>
    <t>PCTRL_1</t>
    <phoneticPr fontId="1" type="noConversion"/>
  </si>
  <si>
    <t>0x0540</t>
    <phoneticPr fontId="1" type="noConversion"/>
  </si>
  <si>
    <t>PCTRL_2</t>
    <phoneticPr fontId="1" type="noConversion"/>
  </si>
  <si>
    <t>0x05F0</t>
    <phoneticPr fontId="1" type="noConversion"/>
  </si>
  <si>
    <t>0x06A0</t>
    <phoneticPr fontId="1" type="noConversion"/>
  </si>
  <si>
    <t>0x0750</t>
    <phoneticPr fontId="1" type="noConversion"/>
  </si>
  <si>
    <t>PCTRL_5</t>
    <phoneticPr fontId="1" type="noConversion"/>
  </si>
  <si>
    <t>0x0800</t>
    <phoneticPr fontId="1" type="noConversion"/>
  </si>
  <si>
    <t>PCTRL_6</t>
    <phoneticPr fontId="1" type="noConversion"/>
  </si>
  <si>
    <t>0x08B0</t>
    <phoneticPr fontId="1" type="noConversion"/>
  </si>
  <si>
    <t>PCTRL_7</t>
    <phoneticPr fontId="1" type="noConversion"/>
  </si>
  <si>
    <t>0x0960</t>
    <phoneticPr fontId="1" type="noConversion"/>
  </si>
  <si>
    <t>0xF</t>
    <phoneticPr fontId="1" type="noConversion"/>
  </si>
  <si>
    <t>0x4</t>
    <phoneticPr fontId="1" type="noConversion"/>
  </si>
  <si>
    <t>mr1_low</t>
    <phoneticPr fontId="1" type="noConversion"/>
  </si>
  <si>
    <t>MR1_LOW</t>
    <phoneticPr fontId="1" type="noConversion"/>
  </si>
  <si>
    <t>MR1_HIGH</t>
    <phoneticPr fontId="1" type="noConversion"/>
  </si>
  <si>
    <t>mr1_high</t>
    <phoneticPr fontId="1" type="noConversion"/>
  </si>
  <si>
    <t>WR_LVL</t>
    <phoneticPr fontId="1" type="noConversion"/>
  </si>
  <si>
    <t>begin_wr_lvl</t>
    <phoneticPr fontId="1" type="noConversion"/>
  </si>
  <si>
    <t>WR_LVL_COMPLETE_FLAG</t>
    <phoneticPr fontId="1" type="noConversion"/>
  </si>
  <si>
    <t>wr_lvl_complete_flag</t>
    <phoneticPr fontId="1" type="noConversion"/>
  </si>
  <si>
    <t>WR_LVL</t>
    <phoneticPr fontId="1" type="noConversion"/>
  </si>
  <si>
    <t>RD_CALIB</t>
    <phoneticPr fontId="1" type="noConversion"/>
  </si>
  <si>
    <t>begin_calib</t>
    <phoneticPr fontId="1" type="noConversion"/>
  </si>
  <si>
    <t>rd_calib_complete_flag</t>
    <phoneticPr fontId="1" type="noConversion"/>
  </si>
  <si>
    <t>wr_lvl_cs_sel</t>
    <phoneticPr fontId="1" type="noConversion"/>
  </si>
  <si>
    <t>[7:6]</t>
    <phoneticPr fontId="1" type="noConversion"/>
  </si>
  <si>
    <t>0x2</t>
    <phoneticPr fontId="1" type="noConversion"/>
  </si>
  <si>
    <t>0x2c200008</t>
    <phoneticPr fontId="1" type="noConversion"/>
  </si>
  <si>
    <t>0x0</t>
    <phoneticPr fontId="1" type="noConversion"/>
  </si>
  <si>
    <t>rd_calib_cs_sel</t>
    <phoneticPr fontId="1" type="noConversion"/>
  </si>
  <si>
    <t>[5:4]</t>
    <phoneticPr fontId="1" type="noConversion"/>
  </si>
  <si>
    <t>0x0</t>
    <phoneticPr fontId="1" type="noConversion"/>
  </si>
  <si>
    <t>PHY_LOAD_MODE3</t>
    <phoneticPr fontId="1" type="noConversion"/>
  </si>
  <si>
    <t>0x2C200060</t>
    <phoneticPr fontId="1" type="noConversion"/>
  </si>
  <si>
    <t>CMD_2T_EN</t>
    <phoneticPr fontId="1" type="noConversion"/>
  </si>
  <si>
    <t>[1]</t>
    <phoneticPr fontId="1" type="noConversion"/>
  </si>
  <si>
    <t>0x1</t>
    <phoneticPr fontId="1" type="noConversion"/>
  </si>
  <si>
    <t>0x2c200054</t>
    <phoneticPr fontId="1" type="noConversion"/>
  </si>
  <si>
    <t>read_preamble_training_mode</t>
    <phoneticPr fontId="1" type="noConversion"/>
  </si>
  <si>
    <t>[1]</t>
    <phoneticPr fontId="1" type="noConversion"/>
  </si>
  <si>
    <t>0x2c200390</t>
    <phoneticPr fontId="1" type="noConversion"/>
  </si>
  <si>
    <t>a_channel_left_dqs_pd</t>
    <phoneticPr fontId="1" type="noConversion"/>
  </si>
  <si>
    <t>[1:0]</t>
    <phoneticPr fontId="1" type="noConversion"/>
  </si>
  <si>
    <t>a_channel_right_dqs_pd</t>
    <phoneticPr fontId="1" type="noConversion"/>
  </si>
  <si>
    <t>0x2c2003d0</t>
    <phoneticPr fontId="1" type="noConversion"/>
  </si>
  <si>
    <t>0x2c200410</t>
    <phoneticPr fontId="1" type="noConversion"/>
  </si>
  <si>
    <t>b_channel_left_dqs_pd</t>
    <phoneticPr fontId="1" type="noConversion"/>
  </si>
  <si>
    <t>0x2c200450</t>
    <phoneticPr fontId="1" type="noConversion"/>
  </si>
  <si>
    <t>b_channel_right_dqs_pd</t>
    <phoneticPr fontId="1" type="noConversion"/>
  </si>
  <si>
    <t>0x2</t>
    <phoneticPr fontId="1" type="noConversion"/>
  </si>
  <si>
    <t>0x400</t>
    <phoneticPr fontId="1" type="noConversion"/>
  </si>
  <si>
    <t>0x800</t>
    <phoneticPr fontId="1" type="noConversion"/>
  </si>
  <si>
    <t>0x11</t>
    <phoneticPr fontId="1" type="noConversion"/>
  </si>
  <si>
    <t>0x10</t>
    <phoneticPr fontId="1" type="noConversion"/>
  </si>
  <si>
    <t>DQ_SWAP</t>
    <phoneticPr fontId="1" type="noConversion"/>
  </si>
  <si>
    <t>0x2C20082C</t>
    <phoneticPr fontId="1" type="noConversion"/>
  </si>
  <si>
    <t>0x2C200834</t>
    <phoneticPr fontId="1" type="noConversion"/>
  </si>
  <si>
    <t>0x2C200A28</t>
    <phoneticPr fontId="1" type="noConversion"/>
  </si>
  <si>
    <t>0x2C200A2C</t>
    <phoneticPr fontId="1" type="noConversion"/>
  </si>
  <si>
    <t>0x1</t>
    <phoneticPr fontId="1" type="noConversion"/>
  </si>
  <si>
    <t>0x2C200A30</t>
    <phoneticPr fontId="1" type="noConversion"/>
  </si>
  <si>
    <t>0x0</t>
    <phoneticPr fontId="1" type="noConversion"/>
  </si>
  <si>
    <t>0x2C200A34</t>
    <phoneticPr fontId="1" type="noConversion"/>
  </si>
  <si>
    <t>A0_MAP</t>
    <phoneticPr fontId="1" type="noConversion"/>
  </si>
  <si>
    <t>0x2C2000C0</t>
    <phoneticPr fontId="1" type="noConversion"/>
  </si>
  <si>
    <t>SEL0</t>
    <phoneticPr fontId="1" type="noConversion"/>
  </si>
  <si>
    <t>A1_MAP</t>
  </si>
  <si>
    <t>0x2C2000C4</t>
    <phoneticPr fontId="1" type="noConversion"/>
  </si>
  <si>
    <t>0x6</t>
    <phoneticPr fontId="1" type="noConversion"/>
  </si>
  <si>
    <t>A2_MAP</t>
  </si>
  <si>
    <t>A3_MAP</t>
  </si>
  <si>
    <t>A4_MAP</t>
  </si>
  <si>
    <t>0x2C2000D0</t>
    <phoneticPr fontId="1" type="noConversion"/>
  </si>
  <si>
    <t>A5_MAP</t>
  </si>
  <si>
    <t>A6_MAP</t>
  </si>
  <si>
    <t>A7_MAP</t>
  </si>
  <si>
    <t>A8_MAP</t>
  </si>
  <si>
    <t>A9_MAP</t>
  </si>
  <si>
    <t>A10_MAP</t>
  </si>
  <si>
    <t>0x2C2000E8</t>
    <phoneticPr fontId="1" type="noConversion"/>
  </si>
  <si>
    <t>A11_MAP</t>
  </si>
  <si>
    <t>0x9</t>
    <phoneticPr fontId="1" type="noConversion"/>
  </si>
  <si>
    <t>A12_MAP</t>
  </si>
  <si>
    <t>0x2C2000F0</t>
    <phoneticPr fontId="1" type="noConversion"/>
  </si>
  <si>
    <t>0x16</t>
    <phoneticPr fontId="1" type="noConversion"/>
  </si>
  <si>
    <t>A13_MAP</t>
  </si>
  <si>
    <t>0x2C2000F4</t>
    <phoneticPr fontId="1" type="noConversion"/>
  </si>
  <si>
    <t>A14_MAP</t>
  </si>
  <si>
    <t>A15_MAP</t>
  </si>
  <si>
    <t>0x13</t>
    <phoneticPr fontId="1" type="noConversion"/>
  </si>
  <si>
    <t>A16_MAP</t>
  </si>
  <si>
    <t>0x2C200100</t>
    <phoneticPr fontId="1" type="noConversion"/>
  </si>
  <si>
    <t>A17_MAP</t>
  </si>
  <si>
    <t>0x12</t>
    <phoneticPr fontId="1" type="noConversion"/>
  </si>
  <si>
    <t>0x14</t>
    <phoneticPr fontId="1" type="noConversion"/>
  </si>
  <si>
    <t>PLL_CTRL</t>
    <phoneticPr fontId="1" type="noConversion"/>
  </si>
  <si>
    <t>0x2C20014C</t>
    <phoneticPr fontId="1" type="noConversion"/>
  </si>
  <si>
    <t>Enable_PLL</t>
    <phoneticPr fontId="1" type="noConversion"/>
  </si>
  <si>
    <t>[3]</t>
    <phoneticPr fontId="1" type="noConversion"/>
  </si>
  <si>
    <t>0x0: enable; 0x1: power down</t>
    <phoneticPr fontId="1" type="noConversion"/>
  </si>
  <si>
    <t>PLL_LOCK</t>
    <phoneticPr fontId="1" type="noConversion"/>
  </si>
  <si>
    <t>0x2C200181</t>
    <phoneticPr fontId="1" type="noConversion"/>
  </si>
  <si>
    <t>[2]</t>
    <phoneticPr fontId="1" type="noConversion"/>
  </si>
  <si>
    <t>RO</t>
    <phoneticPr fontId="1" type="noConversion"/>
  </si>
  <si>
    <t>DDR_PHY_CTRL</t>
    <phoneticPr fontId="1" type="noConversion"/>
  </si>
  <si>
    <t>0x2C000C08</t>
    <phoneticPr fontId="1" type="noConversion"/>
  </si>
  <si>
    <t>ddrphy_system_soft_rst</t>
    <phoneticPr fontId="1" type="noConversion"/>
  </si>
  <si>
    <t>[0]</t>
    <phoneticPr fontId="1" type="noConversion"/>
  </si>
  <si>
    <t>DFI_INIT_START</t>
    <phoneticPr fontId="1" type="noConversion"/>
  </si>
  <si>
    <t>0x2C00050C</t>
    <phoneticPr fontId="1" type="noConversion"/>
  </si>
  <si>
    <t>dfi_init_start</t>
    <phoneticPr fontId="1" type="noConversion"/>
  </si>
  <si>
    <t>[1]</t>
    <phoneticPr fontId="1" type="noConversion"/>
  </si>
  <si>
    <t>0x2C000400</t>
    <phoneticPr fontId="1" type="noConversion"/>
  </si>
  <si>
    <t>DMC_SOFT_RST</t>
    <phoneticPr fontId="1" type="noConversion"/>
  </si>
  <si>
    <t>0x0</t>
    <phoneticPr fontId="1" type="noConversion"/>
  </si>
  <si>
    <t>DMC_STAT</t>
    <phoneticPr fontId="1" type="noConversion"/>
  </si>
  <si>
    <t>0x2C1001BD</t>
    <phoneticPr fontId="1" type="noConversion"/>
  </si>
  <si>
    <t>dfi_init_complete</t>
    <phoneticPr fontId="1" type="noConversion"/>
  </si>
  <si>
    <t>0x1</t>
    <phoneticPr fontId="1" type="noConversion"/>
  </si>
  <si>
    <t>DMC_STAT</t>
    <phoneticPr fontId="1" type="noConversion"/>
  </si>
  <si>
    <t>0x2C100005</t>
    <phoneticPr fontId="1" type="noConversion"/>
  </si>
  <si>
    <t>operating_mode</t>
    <phoneticPr fontId="1" type="noConversion"/>
  </si>
  <si>
    <t>[2:0]</t>
    <phoneticPr fontId="1" type="noConversion"/>
  </si>
  <si>
    <t>0x1</t>
    <phoneticPr fontId="1" type="noConversion"/>
  </si>
  <si>
    <t>0x1</t>
    <phoneticPr fontId="1" type="noConversion"/>
  </si>
  <si>
    <t>0x0</t>
    <phoneticPr fontId="1" type="noConversion"/>
  </si>
  <si>
    <t>0x8</t>
    <phoneticPr fontId="1" type="noConversion"/>
  </si>
  <si>
    <t>DDR4 2L-V2 2021/03/26 For FY02B</t>
    <phoneticPr fontId="1" type="noConversion"/>
  </si>
  <si>
    <t>2400Mbps: 0x2/0x3200,
2133Mbps: 0x2/0x2C60,
1866Mbps: 0x2/0x26E0,
1600Mbps: 0x2/0x2155,
1333Mbps: 0x3/0x378A,
1200Mbps: 0x3/0x3200,
1066Mbps: 0x3/0x2C60</t>
    <phoneticPr fontId="1" type="noConversion"/>
  </si>
  <si>
    <t>MR0</t>
    <phoneticPr fontId="1" type="noConversion"/>
  </si>
  <si>
    <t>MR1</t>
    <phoneticPr fontId="1" type="noConversion"/>
  </si>
  <si>
    <t>MR2</t>
    <phoneticPr fontId="1" type="noConversion"/>
  </si>
  <si>
    <t>MR3</t>
    <phoneticPr fontId="1" type="noConversion"/>
  </si>
  <si>
    <t>MR4</t>
    <phoneticPr fontId="1" type="noConversion"/>
  </si>
  <si>
    <t>MR5</t>
    <phoneticPr fontId="1" type="noConversion"/>
  </si>
  <si>
    <t>MR6</t>
    <phoneticPr fontId="1" type="noConversion"/>
  </si>
  <si>
    <t>0xF</t>
    <phoneticPr fontId="1" type="noConversion"/>
  </si>
  <si>
    <t>0x3C</t>
    <phoneticPr fontId="1" type="noConversion"/>
  </si>
  <si>
    <t>rd_port_urgent_en</t>
    <phoneticPr fontId="1" type="noConversion"/>
  </si>
  <si>
    <t>rd_port_aging_en</t>
    <phoneticPr fontId="1" type="noConversion"/>
  </si>
  <si>
    <t>rd_port_priority</t>
    <phoneticPr fontId="1" type="noConversion"/>
  </si>
  <si>
    <t>rdwr_ordered_en</t>
    <phoneticPr fontId="1" type="noConversion"/>
  </si>
  <si>
    <t>rd_port_pagematch_en</t>
    <phoneticPr fontId="1" type="noConversion"/>
  </si>
  <si>
    <t>wr_port_pagematch_en</t>
    <phoneticPr fontId="1" type="noConversion"/>
  </si>
  <si>
    <t>wr_port_urgent_en</t>
    <phoneticPr fontId="1" type="noConversion"/>
  </si>
  <si>
    <t>wr_port_aging_en</t>
    <phoneticPr fontId="1" type="noConversion"/>
  </si>
  <si>
    <t>wr_port_priority</t>
    <phoneticPr fontId="1" type="noConversion"/>
  </si>
  <si>
    <t>rqos_map_region2</t>
    <phoneticPr fontId="1" type="noConversion"/>
  </si>
  <si>
    <t>rqos_map_region1</t>
    <phoneticPr fontId="1" type="noConversion"/>
  </si>
  <si>
    <t>rqos_map_region0</t>
    <phoneticPr fontId="1" type="noConversion"/>
  </si>
  <si>
    <t>rqos_map_level1</t>
    <phoneticPr fontId="1" type="noConversion"/>
  </si>
  <si>
    <t>rqos_map_level2</t>
    <phoneticPr fontId="1" type="noConversion"/>
  </si>
  <si>
    <t>rqos_map_timeoutr</t>
    <phoneticPr fontId="1" type="noConversion"/>
  </si>
  <si>
    <t>rqos_map_timeoutb</t>
    <phoneticPr fontId="1" type="noConversion"/>
  </si>
  <si>
    <t>wqos_map_region2</t>
    <phoneticPr fontId="1" type="noConversion"/>
  </si>
  <si>
    <t>wqos_map_region1</t>
    <phoneticPr fontId="1" type="noConversion"/>
  </si>
  <si>
    <t>wqos_map_region0</t>
    <phoneticPr fontId="1" type="noConversion"/>
  </si>
  <si>
    <t>wqos_map_level2</t>
    <phoneticPr fontId="1" type="noConversion"/>
  </si>
  <si>
    <t>wqos_map_level1</t>
    <phoneticPr fontId="1" type="noConversion"/>
  </si>
  <si>
    <t>wqos_map_timeout2</t>
    <phoneticPr fontId="1" type="noConversion"/>
  </si>
  <si>
    <t>wqos_map_timeout1</t>
    <phoneticPr fontId="1" type="noConversion"/>
  </si>
  <si>
    <t>Asyn ACCESS</t>
    <phoneticPr fontId="1" type="noConversion"/>
  </si>
  <si>
    <t>DQ0_3</t>
    <phoneticPr fontId="1" type="noConversion"/>
  </si>
  <si>
    <t>[7:0]</t>
    <phoneticPr fontId="1" type="noConversion"/>
  </si>
  <si>
    <t>0xC8</t>
    <phoneticPr fontId="1" type="noConversion"/>
  </si>
  <si>
    <t>DQ4_7</t>
    <phoneticPr fontId="1" type="noConversion"/>
  </si>
  <si>
    <t>0xE5</t>
    <phoneticPr fontId="1" type="noConversion"/>
  </si>
  <si>
    <t>0x2C200830</t>
    <phoneticPr fontId="1" type="noConversion"/>
  </si>
  <si>
    <t>DQ8_11</t>
    <phoneticPr fontId="1" type="noConversion"/>
  </si>
  <si>
    <t>[7:0]</t>
    <phoneticPr fontId="1" type="noConversion"/>
  </si>
  <si>
    <t>0x7B</t>
    <phoneticPr fontId="1" type="noConversion"/>
  </si>
  <si>
    <t>DQ12_15</t>
    <phoneticPr fontId="1" type="noConversion"/>
  </si>
  <si>
    <t>0x21</t>
    <phoneticPr fontId="1" type="noConversion"/>
  </si>
  <si>
    <t>DQ_SWAP</t>
    <phoneticPr fontId="1" type="noConversion"/>
  </si>
  <si>
    <t>DQ16_19</t>
    <phoneticPr fontId="1" type="noConversion"/>
  </si>
  <si>
    <t>0xE0</t>
    <phoneticPr fontId="1" type="noConversion"/>
  </si>
  <si>
    <t>DQ20_23</t>
    <phoneticPr fontId="1" type="noConversion"/>
  </si>
  <si>
    <t>0x9D</t>
    <phoneticPr fontId="1" type="noConversion"/>
  </si>
  <si>
    <t>DQ24_27</t>
    <phoneticPr fontId="1" type="noConversion"/>
  </si>
  <si>
    <t>DQ28_31</t>
    <phoneticPr fontId="1" type="noConversion"/>
  </si>
  <si>
    <t>0x83</t>
    <phoneticPr fontId="1" type="noConversion"/>
  </si>
  <si>
    <t>RDTRAIN</t>
    <phoneticPr fontId="1" type="noConversion"/>
  </si>
  <si>
    <t>0x2C200190</t>
    <phoneticPr fontId="1" type="noConversion"/>
  </si>
  <si>
    <t>rd_train_check_en</t>
    <phoneticPr fontId="1" type="noConversion"/>
  </si>
  <si>
    <t>SEL1</t>
    <phoneticPr fontId="1" type="noConversion"/>
  </si>
  <si>
    <t>0x15</t>
    <phoneticPr fontId="1" type="noConversion"/>
  </si>
  <si>
    <t>0x2C2000CC</t>
    <phoneticPr fontId="1" type="noConversion"/>
  </si>
  <si>
    <t>0x8</t>
    <phoneticPr fontId="1" type="noConversion"/>
  </si>
  <si>
    <t>0x2C2000D4</t>
    <phoneticPr fontId="1" type="noConversion"/>
  </si>
  <si>
    <t>0xE</t>
    <phoneticPr fontId="1" type="noConversion"/>
  </si>
  <si>
    <t>0x2C2000D8</t>
    <phoneticPr fontId="1" type="noConversion"/>
  </si>
  <si>
    <t>0xD</t>
    <phoneticPr fontId="1" type="noConversion"/>
  </si>
  <si>
    <t>0x2C2000DC</t>
    <phoneticPr fontId="1" type="noConversion"/>
  </si>
  <si>
    <t>0x2C2000E0</t>
    <phoneticPr fontId="1" type="noConversion"/>
  </si>
  <si>
    <t>0x2C2000E4</t>
    <phoneticPr fontId="1" type="noConversion"/>
  </si>
  <si>
    <t>0x2C2000EC</t>
    <phoneticPr fontId="1" type="noConversion"/>
  </si>
  <si>
    <t>0x0</t>
    <phoneticPr fontId="1" type="noConversion"/>
  </si>
  <si>
    <t>0x2C2000F8</t>
    <phoneticPr fontId="1" type="noConversion"/>
  </si>
  <si>
    <t>0x7</t>
    <phoneticPr fontId="1" type="noConversion"/>
  </si>
  <si>
    <t>0x2C2000FC</t>
    <phoneticPr fontId="1" type="noConversion"/>
  </si>
  <si>
    <t>0x1</t>
    <phoneticPr fontId="1" type="noConversion"/>
  </si>
  <si>
    <t>0x2</t>
    <phoneticPr fontId="1" type="noConversion"/>
  </si>
  <si>
    <t>0x2C200104</t>
    <phoneticPr fontId="1" type="noConversion"/>
  </si>
  <si>
    <t>0x11</t>
    <phoneticPr fontId="1" type="noConversion"/>
  </si>
  <si>
    <t>DQ_SEL</t>
    <phoneticPr fontId="1" type="noConversion"/>
  </si>
  <si>
    <t>0x2C200108</t>
    <phoneticPr fontId="1" type="noConversion"/>
  </si>
  <si>
    <t>0xA</t>
    <phoneticPr fontId="1" type="noConversion"/>
  </si>
  <si>
    <t>0x2C20010C</t>
    <phoneticPr fontId="1" type="noConversion"/>
  </si>
  <si>
    <t>0x10</t>
    <phoneticPr fontId="1" type="noConversion"/>
  </si>
  <si>
    <t>0x2C200110</t>
    <phoneticPr fontId="1" type="noConversion"/>
  </si>
  <si>
    <t>0xB</t>
    <phoneticPr fontId="1" type="noConversion"/>
  </si>
  <si>
    <t>0x2C200114</t>
    <phoneticPr fontId="1" type="noConversion"/>
  </si>
  <si>
    <t>0x5</t>
    <phoneticPr fontId="1" type="noConversion"/>
  </si>
  <si>
    <t>0x2C200118</t>
    <phoneticPr fontId="1" type="noConversion"/>
  </si>
  <si>
    <t>0xC</t>
    <phoneticPr fontId="1" type="noConversion"/>
  </si>
  <si>
    <t>updated 2021/03/26</t>
    <phoneticPr fontId="1" type="noConversion"/>
  </si>
  <si>
    <t>0x3ff</t>
    <phoneticPr fontId="1" type="noConversion"/>
  </si>
  <si>
    <t>0x3e8</t>
    <phoneticPr fontId="1" type="noConversion"/>
  </si>
  <si>
    <t>0x3ff</t>
    <phoneticPr fontId="1" type="noConversion"/>
  </si>
  <si>
    <t>0x320</t>
    <phoneticPr fontId="1" type="noConversion"/>
  </si>
  <si>
    <t>0x1</t>
    <phoneticPr fontId="1" type="noConversion"/>
  </si>
  <si>
    <t>0x258</t>
    <phoneticPr fontId="1" type="noConversion"/>
  </si>
  <si>
    <t>0x7</t>
    <phoneticPr fontId="1" type="noConversion"/>
  </si>
  <si>
    <t>0x4</t>
    <phoneticPr fontId="1" type="noConversion"/>
  </si>
  <si>
    <t>VOU/VIU</t>
    <phoneticPr fontId="1" type="noConversion"/>
  </si>
  <si>
    <t>0x2</t>
    <phoneticPr fontId="1" type="noConversion"/>
  </si>
  <si>
    <t>0xf</t>
    <phoneticPr fontId="1" type="noConversion"/>
  </si>
  <si>
    <t>0x5</t>
    <phoneticPr fontId="1" type="noConversion"/>
  </si>
  <si>
    <t>0xB</t>
    <phoneticPr fontId="1" type="noConversion"/>
  </si>
  <si>
    <t>0xB</t>
    <phoneticPr fontId="1" type="noConversion"/>
  </si>
  <si>
    <t>0x3E8</t>
    <phoneticPr fontId="1" type="noConversion"/>
  </si>
  <si>
    <t>0x3E8</t>
    <phoneticPr fontId="1" type="noConversion"/>
  </si>
  <si>
    <t>VOU/VIU</t>
    <phoneticPr fontId="1" type="noConversion"/>
  </si>
  <si>
    <t>0x7</t>
    <phoneticPr fontId="1" type="noConversion"/>
  </si>
  <si>
    <t>0xb</t>
    <phoneticPr fontId="1" type="noConversion"/>
  </si>
  <si>
    <t>0xb</t>
    <phoneticPr fontId="1" type="noConversion"/>
  </si>
  <si>
    <t>0x12C</t>
    <phoneticPr fontId="1" type="noConversion"/>
  </si>
  <si>
    <t>0x12C</t>
    <phoneticPr fontId="1" type="noConversion"/>
  </si>
  <si>
    <t>0x0</t>
    <phoneticPr fontId="1" type="noConversion"/>
  </si>
  <si>
    <t>CKG_BUSMON_TIMER_EN</t>
    <phoneticPr fontId="1" type="noConversion"/>
  </si>
  <si>
    <t>CKG_PERF_MON6_EN</t>
    <phoneticPr fontId="1" type="noConversion"/>
  </si>
  <si>
    <t>CKG_PERF_MON5_EN</t>
    <phoneticPr fontId="1" type="noConversion"/>
  </si>
  <si>
    <t>CKG_PERF_MON4_EN</t>
  </si>
  <si>
    <t>CKG_PERF_MON3_EN</t>
  </si>
  <si>
    <t>CKG_PERF_MON2_EN</t>
  </si>
  <si>
    <t>CKG_PERF_MON1_EN</t>
  </si>
  <si>
    <t>CKG_PERF_MON0_EN</t>
  </si>
  <si>
    <t>CKG_DFI_MON_EN</t>
    <phoneticPr fontId="1" type="noConversion"/>
  </si>
  <si>
    <t>[20]</t>
    <phoneticPr fontId="1" type="noConversion"/>
  </si>
  <si>
    <t>[29]</t>
    <phoneticPr fontId="1" type="noConversion"/>
  </si>
  <si>
    <t>[7]</t>
    <phoneticPr fontId="1" type="noConversion"/>
  </si>
  <si>
    <t>[6]</t>
    <phoneticPr fontId="1" type="noConversion"/>
  </si>
  <si>
    <t>[3]</t>
  </si>
  <si>
    <t>[1]</t>
  </si>
  <si>
    <t>ih_fifo_control_sel</t>
  </si>
  <si>
    <t>[0]</t>
    <phoneticPr fontId="1" type="noConversion"/>
  </si>
  <si>
    <t>0x1</t>
    <phoneticPr fontId="1" type="noConversion"/>
  </si>
  <si>
    <t>FY02B Specific</t>
    <phoneticPr fontId="1" type="noConversion"/>
  </si>
  <si>
    <t>DMC_ECO_CTRL</t>
  </si>
  <si>
    <t>0xE00</t>
    <phoneticPr fontId="1" type="noConversion"/>
  </si>
  <si>
    <t>0x3200</t>
    <phoneticPr fontId="1" type="noConversion"/>
  </si>
  <si>
    <t>DDR4 2400-17-17-17 4Gb-x16</t>
    <phoneticPr fontId="1" type="noConversion"/>
  </si>
  <si>
    <t>DDR4-2400 
(17-17-17)</t>
    <phoneticPr fontId="1" type="noConversion"/>
  </si>
  <si>
    <t>0x964</t>
    <phoneticPr fontId="1" type="noConversion"/>
  </si>
  <si>
    <t>0x18</t>
    <phoneticPr fontId="1" type="noConversion"/>
  </si>
  <si>
    <t>Register comments</t>
    <phoneticPr fontId="1" type="noConversion"/>
  </si>
  <si>
    <t>[15:8]</t>
    <phoneticPr fontId="1" type="noConversion"/>
  </si>
  <si>
    <t>0x6</t>
    <phoneticPr fontId="1" type="noConversion"/>
  </si>
  <si>
    <t>[16]</t>
  </si>
  <si>
    <t>[14]</t>
  </si>
  <si>
    <t>[13]</t>
  </si>
  <si>
    <t>[12]</t>
  </si>
  <si>
    <t>CKG_SFC_CFG</t>
    <phoneticPr fontId="1" type="noConversion"/>
  </si>
  <si>
    <t>0x19F00238</t>
    <phoneticPr fontId="1" type="noConversion"/>
  </si>
  <si>
    <t>CKG_SFC_SEL</t>
    <phoneticPr fontId="1" type="noConversion"/>
  </si>
  <si>
    <t>[1:0]</t>
  </si>
  <si>
    <t>CPU_CORE_CTRL</t>
  </si>
  <si>
    <t>0x02E00010</t>
  </si>
  <si>
    <t>ckg_ca7_core_sel</t>
  </si>
  <si>
    <t>Ca7 time stampe enable</t>
  </si>
  <si>
    <t>ANA_AO_REG</t>
  </si>
  <si>
    <t>0x18000044</t>
  </si>
  <si>
    <t>vdac_det_3210_pd_ctrl</t>
  </si>
  <si>
    <t>[23:20]</t>
  </si>
  <si>
    <t>on</t>
    <phoneticPr fontId="1" type="noConversion"/>
  </si>
  <si>
    <t>vdac_3210_pd_ctrl</t>
  </si>
  <si>
    <t>[19:16]</t>
  </si>
  <si>
    <t>RESERVED</t>
  </si>
  <si>
    <t>[15:12]</t>
  </si>
  <si>
    <t>HDMI PHY PD CTRL</t>
  </si>
  <si>
    <t>[11:8]</t>
  </si>
  <si>
    <t>USB1 PHY PD CTRL</t>
  </si>
  <si>
    <t>[7]</t>
  </si>
  <si>
    <t>USB0 PHY PD CTRL</t>
  </si>
  <si>
    <t>[6]</t>
  </si>
  <si>
    <t>PLL Power on</t>
  </si>
  <si>
    <t>[5:0]</t>
  </si>
  <si>
    <t>On</t>
  </si>
  <si>
    <t>VEU_AHB_EFS_CTL1_REG</t>
    <phoneticPr fontId="1" type="noConversion"/>
  </si>
  <si>
    <t>0x38000014</t>
    <phoneticPr fontId="1" type="noConversion"/>
  </si>
  <si>
    <t>RG_EFSLDO_EN</t>
    <phoneticPr fontId="1" type="noConversion"/>
  </si>
  <si>
    <t>ENABLE</t>
    <phoneticPr fontId="1" type="noConversion"/>
  </si>
  <si>
    <t>AHB_PRERI_CLK_CTRL</t>
    <phoneticPr fontId="1" type="noConversion"/>
  </si>
  <si>
    <t>0x10000000</t>
    <phoneticPr fontId="1" type="noConversion"/>
  </si>
  <si>
    <t>CKG_AES1_CLK_EN</t>
    <phoneticPr fontId="1" type="noConversion"/>
  </si>
  <si>
    <t>PINCTRL_FUNC</t>
    <phoneticPr fontId="1" type="noConversion"/>
  </si>
  <si>
    <t>0x28200000</t>
    <phoneticPr fontId="1" type="noConversion"/>
  </si>
  <si>
    <t>PAD20_G0_FUNC_SEL</t>
    <phoneticPr fontId="1" type="noConversion"/>
  </si>
  <si>
    <t>0x0054</t>
    <phoneticPr fontId="1" type="noConversion"/>
  </si>
  <si>
    <t>FUNC_SEL</t>
    <phoneticPr fontId="1" type="noConversion"/>
  </si>
  <si>
    <t>0x0:UART2_RXD
0x1:GPIO12_3</t>
    <phoneticPr fontId="1" type="noConversion"/>
  </si>
  <si>
    <t>PAD21_G0_FUNC_SEL</t>
    <phoneticPr fontId="1" type="noConversion"/>
  </si>
  <si>
    <t>0x0058</t>
    <phoneticPr fontId="1" type="noConversion"/>
  </si>
  <si>
    <t>0x0:UART2_TXD
0x1:GPIO12_4</t>
    <phoneticPr fontId="1" type="noConversion"/>
  </si>
  <si>
    <t>PAD22_G0_FUNC_SEL</t>
    <phoneticPr fontId="1" type="noConversion"/>
  </si>
  <si>
    <t>0x005C</t>
    <phoneticPr fontId="1" type="noConversion"/>
  </si>
  <si>
    <t>0x0:GPIO0_0
0x1:SPI_CSN0</t>
    <phoneticPr fontId="1" type="noConversion"/>
  </si>
  <si>
    <t>PAD23_G0_FUNC_SEL</t>
    <phoneticPr fontId="1" type="noConversion"/>
  </si>
  <si>
    <t>FUNC_SEL</t>
  </si>
  <si>
    <t>0x0:GPIO0_1
0x1:SPI_CLK
0x2:CLK_AUX</t>
    <phoneticPr fontId="1" type="noConversion"/>
  </si>
  <si>
    <t>PAD24_G0_FUNC_SEL</t>
    <phoneticPr fontId="1" type="noConversion"/>
  </si>
  <si>
    <t>0x0:GPIO0_2
0x1:SPI_DO</t>
    <phoneticPr fontId="1" type="noConversion"/>
  </si>
  <si>
    <t>PAD25_G0_FUNC_SEL</t>
    <phoneticPr fontId="1" type="noConversion"/>
  </si>
  <si>
    <t>0x0068</t>
    <phoneticPr fontId="1" type="noConversion"/>
  </si>
  <si>
    <t>0x0:GPIO0_3
0x1:SPI_DI</t>
    <phoneticPr fontId="1" type="noConversion"/>
  </si>
  <si>
    <t>PAD26_G0_FUNC_SEL</t>
    <phoneticPr fontId="1" type="noConversion"/>
  </si>
  <si>
    <t>0x006C</t>
    <phoneticPr fontId="1" type="noConversion"/>
  </si>
  <si>
    <t>0x0:GPIO0_4
0x1:SPI_CSN1</t>
    <phoneticPr fontId="1" type="noConversion"/>
  </si>
  <si>
    <t>PAD27_G0_FUNC_SEL</t>
    <phoneticPr fontId="1" type="noConversion"/>
  </si>
  <si>
    <t>0x0070</t>
    <phoneticPr fontId="1" type="noConversion"/>
  </si>
  <si>
    <t>0x0:GPIO0_5
0x1:PWM_OUT0</t>
    <phoneticPr fontId="1" type="noConversion"/>
  </si>
  <si>
    <t>PAD28_G0_FUNC_SEL</t>
    <phoneticPr fontId="1" type="noConversion"/>
  </si>
  <si>
    <t>0x0074</t>
    <phoneticPr fontId="1" type="noConversion"/>
  </si>
  <si>
    <t>0x0:GPIO0_6
0x1:PWM_OUT1</t>
    <phoneticPr fontId="1" type="noConversion"/>
  </si>
  <si>
    <t>PAD30_G0_FUNC_SEL</t>
    <phoneticPr fontId="1" type="noConversion"/>
  </si>
  <si>
    <t>0x007C</t>
    <phoneticPr fontId="1" type="noConversion"/>
  </si>
  <si>
    <t>0x0:UART0_CTSN
0x1:GPIO1_0</t>
    <phoneticPr fontId="1" type="noConversion"/>
  </si>
  <si>
    <t>PAD31_G0_FUNC_SEL</t>
    <phoneticPr fontId="1" type="noConversion"/>
  </si>
  <si>
    <t>0x0080</t>
    <phoneticPr fontId="1" type="noConversion"/>
  </si>
  <si>
    <t>0x0:UART0_RTSN
0x1:GPIO1_1</t>
    <phoneticPr fontId="1" type="noConversion"/>
  </si>
  <si>
    <t>PAD32_G0_FUNC_SEL</t>
    <phoneticPr fontId="1" type="noConversion"/>
  </si>
  <si>
    <t>0x0084</t>
    <phoneticPr fontId="1" type="noConversion"/>
  </si>
  <si>
    <t>0x0:UART0_RXD
0x1:GPIO1_2</t>
    <phoneticPr fontId="1" type="noConversion"/>
  </si>
  <si>
    <t>PAD33_G0_FUNC_SEL</t>
    <phoneticPr fontId="1" type="noConversion"/>
  </si>
  <si>
    <t>0x0088</t>
    <phoneticPr fontId="1" type="noConversion"/>
  </si>
  <si>
    <t>0x0:UART0_TXD
0x1:GPIO1_3</t>
    <phoneticPr fontId="1" type="noConversion"/>
  </si>
  <si>
    <t>PAD0_G1_FUNC_SEL</t>
    <phoneticPr fontId="1" type="noConversion"/>
  </si>
  <si>
    <t>0x008C</t>
    <phoneticPr fontId="1" type="noConversion"/>
  </si>
  <si>
    <t>0x0:EPHY_LED_DAT
0x1:GPIO1_4</t>
    <phoneticPr fontId="1" type="noConversion"/>
  </si>
  <si>
    <t>PAD1_G1_FUNC_SEL</t>
  </si>
  <si>
    <t>0x0090</t>
    <phoneticPr fontId="1" type="noConversion"/>
  </si>
  <si>
    <t>0x0:UART1_RXD
0x1:GPIO1_5</t>
    <phoneticPr fontId="1" type="noConversion"/>
  </si>
  <si>
    <t>PAD2_G1_FUNC_SEL</t>
  </si>
  <si>
    <t>0x0094</t>
    <phoneticPr fontId="1" type="noConversion"/>
  </si>
  <si>
    <t>0x0:UART1_TXD
0x1:GPIO1_6</t>
    <phoneticPr fontId="1" type="noConversion"/>
  </si>
  <si>
    <t>PAD3_G1_FUNC_SEL</t>
  </si>
  <si>
    <t>0x0098</t>
    <phoneticPr fontId="1" type="noConversion"/>
  </si>
  <si>
    <t>0x0:SATA_LED
0x1:GPIO1_7</t>
    <phoneticPr fontId="1" type="noConversion"/>
  </si>
  <si>
    <t>PAD4_G1_FUNC_SEL</t>
  </si>
  <si>
    <t>0x009C</t>
    <phoneticPr fontId="1" type="noConversion"/>
  </si>
  <si>
    <t>0x0:IR_IN
0x1:GPIO2_0</t>
    <phoneticPr fontId="1" type="noConversion"/>
  </si>
  <si>
    <t>PAD5_G1_FUNC_SEL</t>
  </si>
  <si>
    <t>0x00A0</t>
    <phoneticPr fontId="1" type="noConversion"/>
  </si>
  <si>
    <t>0x0:EPHY_LED_LINK
0x1:GPIO2_1</t>
    <phoneticPr fontId="1" type="noConversion"/>
  </si>
  <si>
    <t>PAD7_G1_FUNC_SEL</t>
    <phoneticPr fontId="1" type="noConversion"/>
  </si>
  <si>
    <t>0x00A8</t>
    <phoneticPr fontId="1" type="noConversion"/>
  </si>
  <si>
    <t>0x0:JTAG_TCK
0x1:GPIO2_2</t>
    <phoneticPr fontId="1" type="noConversion"/>
  </si>
  <si>
    <t>PAD8_G1_FUNC_SEL</t>
  </si>
  <si>
    <t>0x00AC</t>
    <phoneticPr fontId="1" type="noConversion"/>
  </si>
  <si>
    <t>0x0:JTAG_TMS
0x1:GPIO2_3</t>
    <phoneticPr fontId="1" type="noConversion"/>
  </si>
  <si>
    <t>PAD14_G1_FUNC_SEL</t>
    <phoneticPr fontId="1" type="noConversion"/>
  </si>
  <si>
    <t>0x00C4</t>
    <phoneticPr fontId="1" type="noConversion"/>
  </si>
  <si>
    <t>0x0:GPIO2_4
0x1:PWM_OUT2</t>
    <phoneticPr fontId="1" type="noConversion"/>
  </si>
  <si>
    <t>PAD15_G1_FUNC_SEL</t>
  </si>
  <si>
    <t>0x00C8</t>
    <phoneticPr fontId="1" type="noConversion"/>
  </si>
  <si>
    <t>0x0:GPIO2_5
0x1:PWM_OUT3</t>
    <phoneticPr fontId="1" type="noConversion"/>
  </si>
  <si>
    <t>PAD16_G1_FUNC_SEL</t>
    <phoneticPr fontId="1" type="noConversion"/>
  </si>
  <si>
    <t>0x00CC</t>
    <phoneticPr fontId="1" type="noConversion"/>
  </si>
  <si>
    <t>0x0:GPIO2_6
0x1:I2C1_SCL</t>
    <phoneticPr fontId="1" type="noConversion"/>
  </si>
  <si>
    <t>PAD17_G1_FUNC_SEL</t>
    <phoneticPr fontId="1" type="noConversion"/>
  </si>
  <si>
    <t>0x0:GPIO2_7
0x1:I2C1_SDA</t>
    <phoneticPr fontId="1" type="noConversion"/>
  </si>
  <si>
    <t>PAD18_G1_FUNC_SEL</t>
    <phoneticPr fontId="1" type="noConversion"/>
  </si>
  <si>
    <t>0x0:SFC_CS1N
0x1:GPIO3_0</t>
    <phoneticPr fontId="1" type="noConversion"/>
  </si>
  <si>
    <t>PAD19_G1_FUNC_SEL</t>
    <phoneticPr fontId="1" type="noConversion"/>
  </si>
  <si>
    <t>0x00D8</t>
    <phoneticPr fontId="1" type="noConversion"/>
  </si>
  <si>
    <t>0x0:SFC_HOLD_IO3
0x1:GPIO3_1</t>
    <phoneticPr fontId="1" type="noConversion"/>
  </si>
  <si>
    <t>PAD22_G1_FUNC_SEL</t>
    <phoneticPr fontId="1" type="noConversion"/>
  </si>
  <si>
    <t>0x0:SFC_WP_IO2
0x1:GPIO3_2</t>
    <phoneticPr fontId="1" type="noConversion"/>
  </si>
  <si>
    <t>PAD0_G2_FUNC_SEL</t>
  </si>
  <si>
    <t>0x0:VI_ADC_REFCLK00x1:GPIO3_3
0x2:VI0_CLK</t>
    <phoneticPr fontId="1" type="noConversion"/>
  </si>
  <si>
    <t>PAD1_G2_FUNC_SEL</t>
  </si>
  <si>
    <t>0x00F4</t>
    <phoneticPr fontId="1" type="noConversion"/>
  </si>
  <si>
    <t>0x0:VI0_CLK
0x1:GPIO3_4
0x2:VI_ADC_REFCLK0</t>
    <phoneticPr fontId="1" type="noConversion"/>
  </si>
  <si>
    <t>PAD2_G2_FUNC_SEL</t>
  </si>
  <si>
    <t>0x00F8</t>
    <phoneticPr fontId="1" type="noConversion"/>
  </si>
  <si>
    <t>0x0:VI0_DAT7
0x1:GPIO3_5</t>
    <phoneticPr fontId="1" type="noConversion"/>
  </si>
  <si>
    <t>PAD3_G2_FUNC_SEL</t>
  </si>
  <si>
    <t>0x00FC</t>
    <phoneticPr fontId="1" type="noConversion"/>
  </si>
  <si>
    <t>0x0:VI0_DAT6
0x1:GPIO3_6</t>
    <phoneticPr fontId="1" type="noConversion"/>
  </si>
  <si>
    <t>PAD4_G2_FUNC_SEL</t>
  </si>
  <si>
    <t>0x0:VI0_DAT5
0x1:GPIO3_7</t>
    <phoneticPr fontId="1" type="noConversion"/>
  </si>
  <si>
    <t>PAD5_G2_FUNC_SEL</t>
  </si>
  <si>
    <t>0x0:VI0_DAT4
0x1:GPIO4_0</t>
    <phoneticPr fontId="1" type="noConversion"/>
  </si>
  <si>
    <t>PAD6_G2_FUNC_SEL</t>
  </si>
  <si>
    <t>0x0:VI0_DAT3
0x1:GPIO4_1</t>
    <phoneticPr fontId="1" type="noConversion"/>
  </si>
  <si>
    <t>PAD7_G2_FUNC_SEL</t>
  </si>
  <si>
    <t>0x0:VI0_DAT2
0x1:GPIO4_2</t>
    <phoneticPr fontId="1" type="noConversion"/>
  </si>
  <si>
    <t>PAD8_G2_FUNC_SEL</t>
  </si>
  <si>
    <t>0x0:VI0_DAT1
0x1:GPIO4_3</t>
    <phoneticPr fontId="1" type="noConversion"/>
  </si>
  <si>
    <t>PAD9_G2_FUNC_SEL</t>
  </si>
  <si>
    <t>0x0:VI0_DAT0
0x1:GPIO4_4</t>
    <phoneticPr fontId="1" type="noConversion"/>
  </si>
  <si>
    <t>PAD10_G2_FUNC_SEL</t>
  </si>
  <si>
    <t>0x0118</t>
    <phoneticPr fontId="1" type="noConversion"/>
  </si>
  <si>
    <t>0x0:VI_ADC_REFCLK1
0x1:GPIO4_5
0x2:VI1_CLK</t>
    <phoneticPr fontId="1" type="noConversion"/>
  </si>
  <si>
    <t>PAD11_G2_FUNC_SEL</t>
  </si>
  <si>
    <t>0x011C</t>
    <phoneticPr fontId="1" type="noConversion"/>
  </si>
  <si>
    <t>0x0:VI1_CLK
0x1:GPIO4_6
0x2:VI_ADC_REFCLK1</t>
    <phoneticPr fontId="1" type="noConversion"/>
  </si>
  <si>
    <t>PAD12_G2_FUNC_SEL</t>
  </si>
  <si>
    <t>0x0:VI1_DAT7
0x1:GPIO4_7</t>
    <phoneticPr fontId="1" type="noConversion"/>
  </si>
  <si>
    <t>PAD13_G2_FUNC_SEL</t>
  </si>
  <si>
    <t>0x0124</t>
    <phoneticPr fontId="1" type="noConversion"/>
  </si>
  <si>
    <t>0x0:VI1_DAT6
0x1:GPIO5_0</t>
    <phoneticPr fontId="1" type="noConversion"/>
  </si>
  <si>
    <t>PAD14_G2_FUNC_SEL</t>
  </si>
  <si>
    <t>0x0128</t>
    <phoneticPr fontId="1" type="noConversion"/>
  </si>
  <si>
    <t>0x0:VI1_DAT5
0x1:GPIO5_1</t>
    <phoneticPr fontId="1" type="noConversion"/>
  </si>
  <si>
    <t>PAD15_G2_FUNC_SEL</t>
  </si>
  <si>
    <t>0x012C</t>
    <phoneticPr fontId="1" type="noConversion"/>
  </si>
  <si>
    <t>0x0:VI1_DAT4
0x1:GPIO5_2</t>
    <phoneticPr fontId="1" type="noConversion"/>
  </si>
  <si>
    <t>PAD16_G2_FUNC_SEL</t>
  </si>
  <si>
    <t>0x0130</t>
    <phoneticPr fontId="1" type="noConversion"/>
  </si>
  <si>
    <t>0x0:VI1_DAT3
0x1:GPIO5_3</t>
    <phoneticPr fontId="1" type="noConversion"/>
  </si>
  <si>
    <t>PAD17_G2_FUNC_SEL</t>
  </si>
  <si>
    <t>0x0134</t>
    <phoneticPr fontId="1" type="noConversion"/>
  </si>
  <si>
    <t>0x0:VI1_DAT2
0x1:GPIO5_4</t>
    <phoneticPr fontId="1" type="noConversion"/>
  </si>
  <si>
    <t>PAD18_G2_FUNC_SEL</t>
    <phoneticPr fontId="1" type="noConversion"/>
  </si>
  <si>
    <t>0x0138</t>
    <phoneticPr fontId="1" type="noConversion"/>
  </si>
  <si>
    <t>0x0:VI1_DAT1
0x1:GPIO5_5</t>
    <phoneticPr fontId="1" type="noConversion"/>
  </si>
  <si>
    <t>PAD19_G2_FUNC_SEL</t>
    <phoneticPr fontId="1" type="noConversion"/>
  </si>
  <si>
    <t>0x0:VI1_DAT0
0x1:GPIO5_6</t>
    <phoneticPr fontId="1" type="noConversion"/>
  </si>
  <si>
    <t>PAD20_G2_FUNC_SEL</t>
    <phoneticPr fontId="1" type="noConversion"/>
  </si>
  <si>
    <t>0x0140</t>
    <phoneticPr fontId="1" type="noConversion"/>
  </si>
  <si>
    <t>0x0:I2S0_BCLK_RX
0x1:GPIO5_7</t>
    <phoneticPr fontId="1" type="noConversion"/>
  </si>
  <si>
    <t>PAD21_G2_FUNC_SEL</t>
    <phoneticPr fontId="1" type="noConversion"/>
  </si>
  <si>
    <t>0x0144</t>
    <phoneticPr fontId="1" type="noConversion"/>
  </si>
  <si>
    <t>0x0:I2S0_WS_RX
0x1:GPIO6_0</t>
    <phoneticPr fontId="1" type="noConversion"/>
  </si>
  <si>
    <t>PAD22_G2_FUNC_SEL</t>
    <phoneticPr fontId="1" type="noConversion"/>
  </si>
  <si>
    <t>0x0148</t>
    <phoneticPr fontId="1" type="noConversion"/>
  </si>
  <si>
    <t>0x0:I2S0_SD_RX
0x1:GPIO6_1</t>
    <phoneticPr fontId="1" type="noConversion"/>
  </si>
  <si>
    <t>PAD23_G2_FUNC_SEL</t>
    <phoneticPr fontId="1" type="noConversion"/>
  </si>
  <si>
    <t>0x014C</t>
    <phoneticPr fontId="1" type="noConversion"/>
  </si>
  <si>
    <t>0x0:I2C0_SDA
0x1:GPIO9_5</t>
    <phoneticPr fontId="1" type="noConversion"/>
  </si>
  <si>
    <t>PAD24_G2_FUNC_SEL</t>
    <phoneticPr fontId="1" type="noConversion"/>
  </si>
  <si>
    <t>0x0150</t>
    <phoneticPr fontId="1" type="noConversion"/>
  </si>
  <si>
    <t>0x0:I2C0_SCL
0x1:GPIO9_6</t>
    <phoneticPr fontId="1" type="noConversion"/>
  </si>
  <si>
    <t>PAD25_G2_FUNC_SEL</t>
    <phoneticPr fontId="1" type="noConversion"/>
  </si>
  <si>
    <t>0x0154</t>
    <phoneticPr fontId="1" type="noConversion"/>
  </si>
  <si>
    <t>0x0:I2S1_BCLK_TX
0x1:GPIO6_2</t>
    <phoneticPr fontId="1" type="noConversion"/>
  </si>
  <si>
    <t>PAD26_G2_FUNC_SEL</t>
    <phoneticPr fontId="1" type="noConversion"/>
  </si>
  <si>
    <t>0x0158</t>
    <phoneticPr fontId="1" type="noConversion"/>
  </si>
  <si>
    <t>0x0:I2S1_WS_TX
0x1:GPIO6_3</t>
    <phoneticPr fontId="1" type="noConversion"/>
  </si>
  <si>
    <t>PAD27_G2_FUNC_SEL</t>
    <phoneticPr fontId="1" type="noConversion"/>
  </si>
  <si>
    <t>0x015C</t>
    <phoneticPr fontId="1" type="noConversion"/>
  </si>
  <si>
    <t>0x0:I2S1_SD_TX
0x1:GPIO6_4</t>
    <phoneticPr fontId="1" type="noConversion"/>
  </si>
  <si>
    <t>PAD28_G2_FUNC_SEL</t>
    <phoneticPr fontId="1" type="noConversion"/>
  </si>
  <si>
    <t>0x0160</t>
    <phoneticPr fontId="1" type="noConversion"/>
  </si>
  <si>
    <t>0x0:GPIO6_5
0x1:I2S2_BCLK_RX
0x2:I2S1_MCLK</t>
    <phoneticPr fontId="1" type="noConversion"/>
  </si>
  <si>
    <t>PAD29_G2_FUNC_SEL</t>
    <phoneticPr fontId="1" type="noConversion"/>
  </si>
  <si>
    <t>0x0164</t>
    <phoneticPr fontId="1" type="noConversion"/>
  </si>
  <si>
    <t>0x0:GPIO6_6
0x1:I2S2_WS_RX</t>
    <phoneticPr fontId="1" type="noConversion"/>
  </si>
  <si>
    <t>PAD30_G2_FUNC_SEL</t>
    <phoneticPr fontId="1" type="noConversion"/>
  </si>
  <si>
    <t>0x0168</t>
    <phoneticPr fontId="1" type="noConversion"/>
  </si>
  <si>
    <t>0x0:GPIO6_7
0x1:I2S2_SD_RX</t>
    <phoneticPr fontId="1" type="noConversion"/>
  </si>
  <si>
    <t>PAD31_G2_FUNC_SEL</t>
    <phoneticPr fontId="1" type="noConversion"/>
  </si>
  <si>
    <t>0x016C</t>
    <phoneticPr fontId="1" type="noConversion"/>
  </si>
  <si>
    <t>0x0:VI_ADC_REFCLK2
0x1:GPIO7_0
0x2:VI2_CLK</t>
    <phoneticPr fontId="1" type="noConversion"/>
  </si>
  <si>
    <t>PAD32_G2_FUNC_SEL</t>
    <phoneticPr fontId="1" type="noConversion"/>
  </si>
  <si>
    <t>0x0170</t>
    <phoneticPr fontId="1" type="noConversion"/>
  </si>
  <si>
    <t>0x0:VI2_CLK
0x1:GPIO7_1
0x2:VI_ADC_REFCLK2</t>
    <phoneticPr fontId="1" type="noConversion"/>
  </si>
  <si>
    <t>PAD33_G2_FUNC_SEL</t>
    <phoneticPr fontId="1" type="noConversion"/>
  </si>
  <si>
    <t>0x0174</t>
    <phoneticPr fontId="1" type="noConversion"/>
  </si>
  <si>
    <t>0x0:VI2_DAT7
0x1:GPIO7_2</t>
    <phoneticPr fontId="1" type="noConversion"/>
  </si>
  <si>
    <t>PAD34_G2_FUNC_SEL</t>
    <phoneticPr fontId="1" type="noConversion"/>
  </si>
  <si>
    <t>0x0178</t>
    <phoneticPr fontId="1" type="noConversion"/>
  </si>
  <si>
    <t>0x0:VI2_DAT6
0x1:GPIO7_3</t>
    <phoneticPr fontId="1" type="noConversion"/>
  </si>
  <si>
    <t>PAD35_G2_FUNC_SEL</t>
    <phoneticPr fontId="1" type="noConversion"/>
  </si>
  <si>
    <t>0x017C</t>
    <phoneticPr fontId="1" type="noConversion"/>
  </si>
  <si>
    <t>0x0:VI2_DAT5
0x1:GPIO7_4</t>
    <phoneticPr fontId="1" type="noConversion"/>
  </si>
  <si>
    <t>PAD36_G2_FUNC_SEL</t>
    <phoneticPr fontId="1" type="noConversion"/>
  </si>
  <si>
    <t>0x0:VI2_DAT4
0x1:GPIO7_5</t>
    <phoneticPr fontId="1" type="noConversion"/>
  </si>
  <si>
    <t>PAD37_G2_FUNC_SEL</t>
    <phoneticPr fontId="1" type="noConversion"/>
  </si>
  <si>
    <t>0x0:VI2_DAT3
0x1:GPIO7_6</t>
    <phoneticPr fontId="1" type="noConversion"/>
  </si>
  <si>
    <t>PAD38_G2_FUNC_SEL</t>
    <phoneticPr fontId="1" type="noConversion"/>
  </si>
  <si>
    <t>0x0188</t>
    <phoneticPr fontId="1" type="noConversion"/>
  </si>
  <si>
    <t>0x0:VI2_DAT2
0x1:GPIO7_7</t>
    <phoneticPr fontId="1" type="noConversion"/>
  </si>
  <si>
    <t>PAD39_G2_FUNC_SEL</t>
    <phoneticPr fontId="1" type="noConversion"/>
  </si>
  <si>
    <t>0x018C</t>
    <phoneticPr fontId="1" type="noConversion"/>
  </si>
  <si>
    <t>0x0:VI2_DAT1
0x1:GPIO8_0</t>
    <phoneticPr fontId="1" type="noConversion"/>
  </si>
  <si>
    <t>PAD40_G2_FUNC_SEL</t>
    <phoneticPr fontId="1" type="noConversion"/>
  </si>
  <si>
    <t>0x0:VI2_DAT0
0x1:GPIO8_1</t>
    <phoneticPr fontId="1" type="noConversion"/>
  </si>
  <si>
    <t>PAD41_G2_FUNC_SEL</t>
    <phoneticPr fontId="1" type="noConversion"/>
  </si>
  <si>
    <t>0x0:VI_ADC_REFCLK3
0x1:GPIO8_2
0x2:VI3_CLK</t>
    <phoneticPr fontId="1" type="noConversion"/>
  </si>
  <si>
    <t>PAD42_G2_FUNC_SEL</t>
    <phoneticPr fontId="1" type="noConversion"/>
  </si>
  <si>
    <t>0x0:VI3_CLK
0x1:GPIO8_3
0x2:VI_ADC_REFCLK3</t>
    <phoneticPr fontId="1" type="noConversion"/>
  </si>
  <si>
    <t>PAD43_G2_FUNC_SEL</t>
    <phoneticPr fontId="1" type="noConversion"/>
  </si>
  <si>
    <t>0x019C</t>
    <phoneticPr fontId="1" type="noConversion"/>
  </si>
  <si>
    <t>0x0:VI3_DAT7
0x1:GPIO8_4</t>
    <phoneticPr fontId="1" type="noConversion"/>
  </si>
  <si>
    <t>PAD44_G2_FUNC_SEL</t>
    <phoneticPr fontId="1" type="noConversion"/>
  </si>
  <si>
    <t>0x0:VI3_DAT6
0x1:GPIO8_5</t>
    <phoneticPr fontId="1" type="noConversion"/>
  </si>
  <si>
    <t>PAD45_G2_FUNC_SEL</t>
    <phoneticPr fontId="1" type="noConversion"/>
  </si>
  <si>
    <t>0x0:VI3_DAT5
0x1:GPIO8_6</t>
    <phoneticPr fontId="1" type="noConversion"/>
  </si>
  <si>
    <t>PAD46_G2_FUNC_SEL</t>
    <phoneticPr fontId="1" type="noConversion"/>
  </si>
  <si>
    <t>0x0:VI3_DAT4
0x1:GPIO8_7</t>
    <phoneticPr fontId="1" type="noConversion"/>
  </si>
  <si>
    <t>PAD47_G2_FUNC_SEL</t>
    <phoneticPr fontId="1" type="noConversion"/>
  </si>
  <si>
    <t>0x01AC</t>
    <phoneticPr fontId="1" type="noConversion"/>
  </si>
  <si>
    <t>0x0:VI3_DAT3
0x1:GPIO9_1</t>
    <phoneticPr fontId="1" type="noConversion"/>
  </si>
  <si>
    <t>PAD48_G2_FUNC_SEL</t>
    <phoneticPr fontId="1" type="noConversion"/>
  </si>
  <si>
    <t>0x0:VI3_DAT2
0x1:GPIO9_2</t>
    <phoneticPr fontId="1" type="noConversion"/>
  </si>
  <si>
    <t>PAD49_G2_FUNC_SEL</t>
    <phoneticPr fontId="1" type="noConversion"/>
  </si>
  <si>
    <t>0x01B4</t>
    <phoneticPr fontId="1" type="noConversion"/>
  </si>
  <si>
    <t>0x0:VI3_DAT1
0x1:GPIO9_3</t>
    <phoneticPr fontId="1" type="noConversion"/>
  </si>
  <si>
    <t>PAD50_G2_FUNC_SEL</t>
    <phoneticPr fontId="1" type="noConversion"/>
  </si>
  <si>
    <t>0x01BC</t>
    <phoneticPr fontId="1" type="noConversion"/>
  </si>
  <si>
    <t>0x0:VI3_DAT0
0x1:GPIO9_4</t>
    <phoneticPr fontId="1" type="noConversion"/>
  </si>
  <si>
    <t>PINCTRL_DS_WPU</t>
    <phoneticPr fontId="1" type="noConversion"/>
  </si>
  <si>
    <t>PAD0_G0_REG_GPIO9_7</t>
    <phoneticPr fontId="1" type="noConversion"/>
  </si>
  <si>
    <t>0x3F100000</t>
    <phoneticPr fontId="1" type="noConversion"/>
  </si>
  <si>
    <t>DS</t>
    <phoneticPr fontId="1" type="noConversion"/>
  </si>
  <si>
    <t>0x0:2mA
0x1:4mA
0x2:6mA
0x3:8mA
0x4:10mA
0x5:12mA
0x6:14mA
0x7:16mA</t>
    <phoneticPr fontId="1" type="noConversion"/>
  </si>
  <si>
    <t>SCHMIT_TRIGGER</t>
    <phoneticPr fontId="1" type="noConversion"/>
  </si>
  <si>
    <t>schmit trigger
0x0:Disable
0x1:Enable</t>
    <phoneticPr fontId="1" type="noConversion"/>
  </si>
  <si>
    <t>PULL_DOWN_RESISTANCE</t>
    <phoneticPr fontId="1" type="noConversion"/>
  </si>
  <si>
    <t>Pull down resistance
0x0:Disable
0x1:50K</t>
    <phoneticPr fontId="1" type="noConversion"/>
  </si>
  <si>
    <t>PULL_UP_RESISTANCE</t>
    <phoneticPr fontId="1" type="noConversion"/>
  </si>
  <si>
    <t>Pull up resistance
0x0:Disable
0x1:1.8K
0x2:4.7K
0x3:20K</t>
    <phoneticPr fontId="1" type="noConversion"/>
  </si>
  <si>
    <t>PAD1_G0_REG_GPIO10_0</t>
    <phoneticPr fontId="1" type="noConversion"/>
  </si>
  <si>
    <t>0x3F100004</t>
    <phoneticPr fontId="1" type="noConversion"/>
  </si>
  <si>
    <t>0x0:Disable
0x1:Enable</t>
    <phoneticPr fontId="1" type="noConversion"/>
  </si>
  <si>
    <t>0x0:Disable
0x1:50K</t>
    <phoneticPr fontId="1" type="noConversion"/>
  </si>
  <si>
    <t>0x0:Disable
0x1:1.8K
0x2:4.7K
0x3:20K</t>
    <phoneticPr fontId="1" type="noConversion"/>
  </si>
  <si>
    <t>PAD2_G0_REG_GPIO10_1</t>
    <phoneticPr fontId="1" type="noConversion"/>
  </si>
  <si>
    <t>0x3F100008</t>
    <phoneticPr fontId="1" type="noConversion"/>
  </si>
  <si>
    <t>PAD3_G0_REG_GPIO10_2</t>
    <phoneticPr fontId="1" type="noConversion"/>
  </si>
  <si>
    <t>0x3F10000C</t>
    <phoneticPr fontId="1" type="noConversion"/>
  </si>
  <si>
    <t>PAD4_G0_REG_GPIO10_3</t>
    <phoneticPr fontId="1" type="noConversion"/>
  </si>
  <si>
    <t>0x3F100010</t>
    <phoneticPr fontId="1" type="noConversion"/>
  </si>
  <si>
    <t>PAD5_G0_REG_GPIO10_4</t>
    <phoneticPr fontId="1" type="noConversion"/>
  </si>
  <si>
    <t>0x3F100014</t>
    <phoneticPr fontId="1" type="noConversion"/>
  </si>
  <si>
    <t>PAD6_G0_REG_GPIO10_5</t>
    <phoneticPr fontId="1" type="noConversion"/>
  </si>
  <si>
    <t>0x3F100018</t>
    <phoneticPr fontId="1" type="noConversion"/>
  </si>
  <si>
    <t>PAD7_G0_REG_GPIO10_6</t>
    <phoneticPr fontId="1" type="noConversion"/>
  </si>
  <si>
    <t>0x3F10001C</t>
    <phoneticPr fontId="1" type="noConversion"/>
  </si>
  <si>
    <t>PAD8_G0_REG_GPIO10_7</t>
    <phoneticPr fontId="1" type="noConversion"/>
  </si>
  <si>
    <t>0x3F100020</t>
    <phoneticPr fontId="1" type="noConversion"/>
  </si>
  <si>
    <t>PAD9_G0_REG_GPIO11_0</t>
    <phoneticPr fontId="1" type="noConversion"/>
  </si>
  <si>
    <t>0x3F100024</t>
    <phoneticPr fontId="1" type="noConversion"/>
  </si>
  <si>
    <t>PAD10_G0_REG_GPIO11_1</t>
    <phoneticPr fontId="1" type="noConversion"/>
  </si>
  <si>
    <t>0x3F100028</t>
    <phoneticPr fontId="1" type="noConversion"/>
  </si>
  <si>
    <t>PAD11_G0_REG_GPIO11_2</t>
    <phoneticPr fontId="1" type="noConversion"/>
  </si>
  <si>
    <t>0x3F10002C</t>
    <phoneticPr fontId="1" type="noConversion"/>
  </si>
  <si>
    <t>PAD12_G0_REG_GPIO11_3</t>
    <phoneticPr fontId="1" type="noConversion"/>
  </si>
  <si>
    <t>0x3F100030</t>
    <phoneticPr fontId="1" type="noConversion"/>
  </si>
  <si>
    <t>PAD13_G0_REG_GPIO11_4</t>
    <phoneticPr fontId="1" type="noConversion"/>
  </si>
  <si>
    <t>0x3F100034</t>
    <phoneticPr fontId="1" type="noConversion"/>
  </si>
  <si>
    <t>PAD14_G0_REG_GPIO11_5</t>
    <phoneticPr fontId="1" type="noConversion"/>
  </si>
  <si>
    <t>0x3F100038</t>
    <phoneticPr fontId="1" type="noConversion"/>
  </si>
  <si>
    <t>PAD15_G0_REG_GPIO11_6</t>
    <phoneticPr fontId="1" type="noConversion"/>
  </si>
  <si>
    <t>0x3F10003C</t>
    <phoneticPr fontId="1" type="noConversion"/>
  </si>
  <si>
    <t>PAD16_G0_REG_GPIO11_7</t>
    <phoneticPr fontId="1" type="noConversion"/>
  </si>
  <si>
    <t>0x3F100040</t>
    <phoneticPr fontId="1" type="noConversion"/>
  </si>
  <si>
    <t>PAD17_G0_REG_GPIO12_0</t>
    <phoneticPr fontId="1" type="noConversion"/>
  </si>
  <si>
    <t>0x3F100044</t>
    <phoneticPr fontId="1" type="noConversion"/>
  </si>
  <si>
    <t>PAD18_G0_REG_GPIO12_1</t>
    <phoneticPr fontId="1" type="noConversion"/>
  </si>
  <si>
    <t>0x3F100048</t>
    <phoneticPr fontId="1" type="noConversion"/>
  </si>
  <si>
    <t>PAD19_G0_REG_GPIO12_2</t>
    <phoneticPr fontId="1" type="noConversion"/>
  </si>
  <si>
    <t>0x3F10004C</t>
    <phoneticPr fontId="1" type="noConversion"/>
  </si>
  <si>
    <t>PAD20_G0_REG_UART2_RXD</t>
    <phoneticPr fontId="1" type="noConversion"/>
  </si>
  <si>
    <t>0x3F100050</t>
    <phoneticPr fontId="1" type="noConversion"/>
  </si>
  <si>
    <t>PAD21_G0_REG_UART2_TXD</t>
    <phoneticPr fontId="1" type="noConversion"/>
  </si>
  <si>
    <t>0x3F100054</t>
    <phoneticPr fontId="1" type="noConversion"/>
  </si>
  <si>
    <t>PAD22_G0_REG_GPIO0_0</t>
    <phoneticPr fontId="1" type="noConversion"/>
  </si>
  <si>
    <t>0x3F100058</t>
    <phoneticPr fontId="1" type="noConversion"/>
  </si>
  <si>
    <t>PAD23_G0_REG_GPIO0_1</t>
    <phoneticPr fontId="1" type="noConversion"/>
  </si>
  <si>
    <t>0x3F10005C</t>
    <phoneticPr fontId="1" type="noConversion"/>
  </si>
  <si>
    <t>PAD24_G0_REG_GPIO0_2</t>
    <phoneticPr fontId="1" type="noConversion"/>
  </si>
  <si>
    <t>0x3F100060</t>
    <phoneticPr fontId="1" type="noConversion"/>
  </si>
  <si>
    <t>PAD25_G0_REG_GPIO0_3</t>
    <phoneticPr fontId="1" type="noConversion"/>
  </si>
  <si>
    <t>0x3F100064</t>
    <phoneticPr fontId="1" type="noConversion"/>
  </si>
  <si>
    <t>PAD26_G0_REG_GPIO0_4</t>
    <phoneticPr fontId="1" type="noConversion"/>
  </si>
  <si>
    <t>0x3F100068</t>
    <phoneticPr fontId="1" type="noConversion"/>
  </si>
  <si>
    <t>PAD27_G0_REG_GPIO0_5</t>
    <phoneticPr fontId="1" type="noConversion"/>
  </si>
  <si>
    <t>0x3F10006C</t>
    <phoneticPr fontId="1" type="noConversion"/>
  </si>
  <si>
    <t>PAD28_G0_REG_GPIO0_6</t>
    <phoneticPr fontId="1" type="noConversion"/>
  </si>
  <si>
    <t>0x3F100070</t>
    <phoneticPr fontId="1" type="noConversion"/>
  </si>
  <si>
    <t>PAD29_G0_REG_GPIO0_7</t>
    <phoneticPr fontId="1" type="noConversion"/>
  </si>
  <si>
    <t>0x3F100074</t>
    <phoneticPr fontId="1" type="noConversion"/>
  </si>
  <si>
    <t>PAD30_G0_REG_UART0_CTSN</t>
    <phoneticPr fontId="1" type="noConversion"/>
  </si>
  <si>
    <t>0x3F100078</t>
    <phoneticPr fontId="1" type="noConversion"/>
  </si>
  <si>
    <t>PAD31_G0_REG_UART0_RTSN</t>
    <phoneticPr fontId="1" type="noConversion"/>
  </si>
  <si>
    <t>0x3F10007C</t>
    <phoneticPr fontId="1" type="noConversion"/>
  </si>
  <si>
    <t>PAD32_G0_REG_UART0_RXD</t>
    <phoneticPr fontId="1" type="noConversion"/>
  </si>
  <si>
    <t>0x3F100080</t>
    <phoneticPr fontId="1" type="noConversion"/>
  </si>
  <si>
    <t>PAD33_G0_REG_UART0_TXD</t>
    <phoneticPr fontId="1" type="noConversion"/>
  </si>
  <si>
    <t>0x3F100084</t>
    <phoneticPr fontId="1" type="noConversion"/>
  </si>
  <si>
    <t>PAD0_G1_REG_EPHY_LED_DAT</t>
    <phoneticPr fontId="1" type="noConversion"/>
  </si>
  <si>
    <t>0x38100004</t>
    <phoneticPr fontId="1" type="noConversion"/>
  </si>
  <si>
    <t>PAD1_G1_REG_UART1_RXD</t>
    <phoneticPr fontId="1" type="noConversion"/>
  </si>
  <si>
    <t>0x38100008</t>
    <phoneticPr fontId="1" type="noConversion"/>
  </si>
  <si>
    <t>PAD2_G1_REG_UART1_TXD</t>
    <phoneticPr fontId="1" type="noConversion"/>
  </si>
  <si>
    <t>0x3810000C</t>
    <phoneticPr fontId="1" type="noConversion"/>
  </si>
  <si>
    <t>PAD3_G1_REG_SATA_LED</t>
    <phoneticPr fontId="1" type="noConversion"/>
  </si>
  <si>
    <t>0x38100010</t>
    <phoneticPr fontId="1" type="noConversion"/>
  </si>
  <si>
    <t>PAD4_G1_REG_IR_IN</t>
    <phoneticPr fontId="1" type="noConversion"/>
  </si>
  <si>
    <t>0x38100014</t>
    <phoneticPr fontId="1" type="noConversion"/>
  </si>
  <si>
    <t>PAD5_G1_REG_EPHY_LED_LINK</t>
    <phoneticPr fontId="1" type="noConversion"/>
  </si>
  <si>
    <t>0x38100018</t>
    <phoneticPr fontId="1" type="noConversion"/>
  </si>
  <si>
    <t>PAD6_G1_REG_JTAG_EN</t>
    <phoneticPr fontId="1" type="noConversion"/>
  </si>
  <si>
    <t>0x3810001C</t>
    <phoneticPr fontId="1" type="noConversion"/>
  </si>
  <si>
    <t>PAD7_G1_REG_JTAG_TCK</t>
    <phoneticPr fontId="1" type="noConversion"/>
  </si>
  <si>
    <t>0x38100020</t>
    <phoneticPr fontId="1" type="noConversion"/>
  </si>
  <si>
    <t>PAD8_G1_REG_JTAG_TMS</t>
    <phoneticPr fontId="1" type="noConversion"/>
  </si>
  <si>
    <t>0x38100024</t>
    <phoneticPr fontId="1" type="noConversion"/>
  </si>
  <si>
    <t>PAD9_G1_REG_POR_ENABLE</t>
    <phoneticPr fontId="1" type="noConversion"/>
  </si>
  <si>
    <t>0x38100028</t>
    <phoneticPr fontId="1" type="noConversion"/>
  </si>
  <si>
    <t>PAD10_G1_REG_RSTN</t>
    <phoneticPr fontId="1" type="noConversion"/>
  </si>
  <si>
    <t>0x3810002C</t>
    <phoneticPr fontId="1" type="noConversion"/>
  </si>
  <si>
    <t>PAD11_G1_REG_WDG_RSTN</t>
    <phoneticPr fontId="1" type="noConversion"/>
  </si>
  <si>
    <t>0x38100030</t>
    <phoneticPr fontId="1" type="noConversion"/>
  </si>
  <si>
    <t>PAD12_G1_REG_TEST_MODE</t>
    <phoneticPr fontId="1" type="noConversion"/>
  </si>
  <si>
    <t>0x38100034</t>
    <phoneticPr fontId="1" type="noConversion"/>
  </si>
  <si>
    <t>PAD14_G1_REG_GPIO2_4</t>
    <phoneticPr fontId="1" type="noConversion"/>
  </si>
  <si>
    <t>0x38100038</t>
    <phoneticPr fontId="1" type="noConversion"/>
  </si>
  <si>
    <t>PAD15_G1_REG_GPIO2_5</t>
    <phoneticPr fontId="1" type="noConversion"/>
  </si>
  <si>
    <t>0x3810003C</t>
    <phoneticPr fontId="1" type="noConversion"/>
  </si>
  <si>
    <t>PAD16_G1_REG_GPIO2_6</t>
    <phoneticPr fontId="1" type="noConversion"/>
  </si>
  <si>
    <t>0x38100040</t>
    <phoneticPr fontId="1" type="noConversion"/>
  </si>
  <si>
    <t>PAD17_G1_REG_GPIO2_7</t>
    <phoneticPr fontId="1" type="noConversion"/>
  </si>
  <si>
    <t>0x38100044</t>
    <phoneticPr fontId="1" type="noConversion"/>
  </si>
  <si>
    <t>PAD18_G1_REG_SFC_CS1N</t>
    <phoneticPr fontId="1" type="noConversion"/>
  </si>
  <si>
    <t>0x38100048</t>
    <phoneticPr fontId="1" type="noConversion"/>
  </si>
  <si>
    <t>PAD19_G1_REG_SFC_HOLD_IO3</t>
    <phoneticPr fontId="1" type="noConversion"/>
  </si>
  <si>
    <t>0x3810004C</t>
    <phoneticPr fontId="1" type="noConversion"/>
  </si>
  <si>
    <t>PAD20_G1_REG_SFC_CLK</t>
    <phoneticPr fontId="1" type="noConversion"/>
  </si>
  <si>
    <t>0x38100050</t>
    <phoneticPr fontId="1" type="noConversion"/>
  </si>
  <si>
    <t>PAD21_G1_REG_SFC_MOSI_IO0</t>
    <phoneticPr fontId="1" type="noConversion"/>
  </si>
  <si>
    <t>0x38100054</t>
    <phoneticPr fontId="1" type="noConversion"/>
  </si>
  <si>
    <t>PAD22_G1_REG_SFC_WP_IO2</t>
    <phoneticPr fontId="1" type="noConversion"/>
  </si>
  <si>
    <t>0x38100058</t>
    <phoneticPr fontId="1" type="noConversion"/>
  </si>
  <si>
    <t>PAD23_G1_REG_SFC_MOSI_IO1</t>
    <phoneticPr fontId="1" type="noConversion"/>
  </si>
  <si>
    <t>0x3810005C</t>
    <phoneticPr fontId="1" type="noConversion"/>
  </si>
  <si>
    <t>PAD24_G1_REG_SFC_CS0N</t>
    <phoneticPr fontId="1" type="noConversion"/>
  </si>
  <si>
    <t>0x38100060</t>
    <phoneticPr fontId="1" type="noConversion"/>
  </si>
  <si>
    <t>PAD0_G2_REG_VI_ADC_REFCLK0</t>
    <phoneticPr fontId="1" type="noConversion"/>
  </si>
  <si>
    <t>0x34400000</t>
    <phoneticPr fontId="1" type="noConversion"/>
  </si>
  <si>
    <t>PAD1_G2_REG_VI0_CLK</t>
    <phoneticPr fontId="1" type="noConversion"/>
  </si>
  <si>
    <t>0x34400004</t>
    <phoneticPr fontId="1" type="noConversion"/>
  </si>
  <si>
    <t>PAD2_G2_REG_VI0_DAT7</t>
    <phoneticPr fontId="1" type="noConversion"/>
  </si>
  <si>
    <t>0x34400008</t>
    <phoneticPr fontId="1" type="noConversion"/>
  </si>
  <si>
    <t>PAD3_G2_REG_VI0_DAT6</t>
    <phoneticPr fontId="1" type="noConversion"/>
  </si>
  <si>
    <t>0x3440000C</t>
    <phoneticPr fontId="1" type="noConversion"/>
  </si>
  <si>
    <t>PAD4_G2_REG_VI0_DAT5</t>
    <phoneticPr fontId="1" type="noConversion"/>
  </si>
  <si>
    <t>0x34400010</t>
    <phoneticPr fontId="1" type="noConversion"/>
  </si>
  <si>
    <t>PAD5_G2_REG_VI0_DAT4</t>
    <phoneticPr fontId="1" type="noConversion"/>
  </si>
  <si>
    <t>0x34400014</t>
    <phoneticPr fontId="1" type="noConversion"/>
  </si>
  <si>
    <t>PAD6_G2_REG_VI0_DAT3</t>
    <phoneticPr fontId="1" type="noConversion"/>
  </si>
  <si>
    <t>0x34400018</t>
    <phoneticPr fontId="1" type="noConversion"/>
  </si>
  <si>
    <t>PAD7_G2_REG_VI0_DAT2</t>
    <phoneticPr fontId="1" type="noConversion"/>
  </si>
  <si>
    <t>0x3440001C</t>
    <phoneticPr fontId="1" type="noConversion"/>
  </si>
  <si>
    <t>PAD8_G2_REG_VI0_DAT1</t>
    <phoneticPr fontId="1" type="noConversion"/>
  </si>
  <si>
    <t>0x34400020</t>
    <phoneticPr fontId="1" type="noConversion"/>
  </si>
  <si>
    <t>PAD9_G2_REG_VI0_DAT0</t>
    <phoneticPr fontId="1" type="noConversion"/>
  </si>
  <si>
    <t>0x34400024</t>
    <phoneticPr fontId="1" type="noConversion"/>
  </si>
  <si>
    <t>PAD10_G2_REG_VI_ADC_REFCLK1</t>
    <phoneticPr fontId="1" type="noConversion"/>
  </si>
  <si>
    <t>0x34400028</t>
    <phoneticPr fontId="1" type="noConversion"/>
  </si>
  <si>
    <t>PAD11_G2_REG_VI1_CLK</t>
    <phoneticPr fontId="1" type="noConversion"/>
  </si>
  <si>
    <t>0x3440002C</t>
    <phoneticPr fontId="1" type="noConversion"/>
  </si>
  <si>
    <t>PAD12_G2_REG_VI1_DAT7</t>
    <phoneticPr fontId="1" type="noConversion"/>
  </si>
  <si>
    <t>0x34400030</t>
    <phoneticPr fontId="1" type="noConversion"/>
  </si>
  <si>
    <t>PAD13_G2_REG_VI1_DAT6</t>
    <phoneticPr fontId="1" type="noConversion"/>
  </si>
  <si>
    <t>0x34400034</t>
    <phoneticPr fontId="1" type="noConversion"/>
  </si>
  <si>
    <t>PAD14_G2_REG_VI1_DAT5</t>
    <phoneticPr fontId="1" type="noConversion"/>
  </si>
  <si>
    <t>0x34400038</t>
    <phoneticPr fontId="1" type="noConversion"/>
  </si>
  <si>
    <t>PAD15_G2_REG_VI1_DAT4</t>
    <phoneticPr fontId="1" type="noConversion"/>
  </si>
  <si>
    <t>0x3440003C</t>
    <phoneticPr fontId="1" type="noConversion"/>
  </si>
  <si>
    <t>PAD16_G2_REG_VI1_DAT3</t>
    <phoneticPr fontId="1" type="noConversion"/>
  </si>
  <si>
    <t>0x34400040</t>
    <phoneticPr fontId="1" type="noConversion"/>
  </si>
  <si>
    <t>PAD17_G2_REG_VI1_DAT2</t>
    <phoneticPr fontId="1" type="noConversion"/>
  </si>
  <si>
    <t>0x34400044</t>
    <phoneticPr fontId="1" type="noConversion"/>
  </si>
  <si>
    <t>PAD18_G2_REG_VI1_DAT1</t>
    <phoneticPr fontId="1" type="noConversion"/>
  </si>
  <si>
    <t>0x34400048</t>
    <phoneticPr fontId="1" type="noConversion"/>
  </si>
  <si>
    <t>PAD19_G2_REG_VI1_DAT0</t>
    <phoneticPr fontId="1" type="noConversion"/>
  </si>
  <si>
    <t>0x3440004C</t>
    <phoneticPr fontId="1" type="noConversion"/>
  </si>
  <si>
    <t>PAD20_G2_REG_I2S0_BCLK_RX</t>
    <phoneticPr fontId="1" type="noConversion"/>
  </si>
  <si>
    <t>0x34400050</t>
    <phoneticPr fontId="1" type="noConversion"/>
  </si>
  <si>
    <t>PAD21_G2_REG_WS_RX</t>
    <phoneticPr fontId="1" type="noConversion"/>
  </si>
  <si>
    <t>0x34400054</t>
    <phoneticPr fontId="1" type="noConversion"/>
  </si>
  <si>
    <t>PAD22_G2_REG_I2S0_SD_RX</t>
    <phoneticPr fontId="1" type="noConversion"/>
  </si>
  <si>
    <t>0x34400058</t>
    <phoneticPr fontId="1" type="noConversion"/>
  </si>
  <si>
    <t>PAD23_G2_REG_I2C0_SDA</t>
    <phoneticPr fontId="1" type="noConversion"/>
  </si>
  <si>
    <t>0x3440005C</t>
    <phoneticPr fontId="1" type="noConversion"/>
  </si>
  <si>
    <t>PAD24_G2_REG_I2C0_SCL</t>
    <phoneticPr fontId="1" type="noConversion"/>
  </si>
  <si>
    <t>0x34400060</t>
    <phoneticPr fontId="1" type="noConversion"/>
  </si>
  <si>
    <t>PAD25_G2_REG_I2S1_BCLK_TX</t>
    <phoneticPr fontId="1" type="noConversion"/>
  </si>
  <si>
    <t>0x34400064</t>
    <phoneticPr fontId="1" type="noConversion"/>
  </si>
  <si>
    <t>PAD26_G2_REG_I2S1_WS_TX</t>
    <phoneticPr fontId="1" type="noConversion"/>
  </si>
  <si>
    <t>0x34400068</t>
    <phoneticPr fontId="1" type="noConversion"/>
  </si>
  <si>
    <t>PAD27_G2_REG_I2S1_SD_TX</t>
    <phoneticPr fontId="1" type="noConversion"/>
  </si>
  <si>
    <t>0x3440006C</t>
    <phoneticPr fontId="1" type="noConversion"/>
  </si>
  <si>
    <t>PAD28_G2_REG_GPIO6_5</t>
    <phoneticPr fontId="1" type="noConversion"/>
  </si>
  <si>
    <t>0x34400070</t>
    <phoneticPr fontId="1" type="noConversion"/>
  </si>
  <si>
    <t>PAD29_G2_REG_GPIO6_6</t>
    <phoneticPr fontId="1" type="noConversion"/>
  </si>
  <si>
    <t>0x34400074</t>
    <phoneticPr fontId="1" type="noConversion"/>
  </si>
  <si>
    <t>PAD30_G2_REG_GPIO6_7</t>
    <phoneticPr fontId="1" type="noConversion"/>
  </si>
  <si>
    <t>0x34400078</t>
    <phoneticPr fontId="1" type="noConversion"/>
  </si>
  <si>
    <t>PAD31_G2_REG_VI_ADC_REFCLK2</t>
    <phoneticPr fontId="1" type="noConversion"/>
  </si>
  <si>
    <t>0x3440007C</t>
    <phoneticPr fontId="1" type="noConversion"/>
  </si>
  <si>
    <t>PAD32_G2_REG_VI2_CLK</t>
    <phoneticPr fontId="1" type="noConversion"/>
  </si>
  <si>
    <t>0x34400080</t>
    <phoneticPr fontId="1" type="noConversion"/>
  </si>
  <si>
    <t>PAD33_G2_REG_VI2_DAT7</t>
    <phoneticPr fontId="1" type="noConversion"/>
  </si>
  <si>
    <t>0x34400084</t>
    <phoneticPr fontId="1" type="noConversion"/>
  </si>
  <si>
    <t>PAD34_G2_REG_VI2_DAT6</t>
    <phoneticPr fontId="1" type="noConversion"/>
  </si>
  <si>
    <t>0x34400088</t>
    <phoneticPr fontId="1" type="noConversion"/>
  </si>
  <si>
    <t>PAD35_G2_REG_VI2_DAT5</t>
    <phoneticPr fontId="1" type="noConversion"/>
  </si>
  <si>
    <t>0x3440008C</t>
    <phoneticPr fontId="1" type="noConversion"/>
  </si>
  <si>
    <t>PAD36_G2_REG_VI2_DAT4</t>
    <phoneticPr fontId="1" type="noConversion"/>
  </si>
  <si>
    <t>0x34400090</t>
    <phoneticPr fontId="1" type="noConversion"/>
  </si>
  <si>
    <t>PAD37_G2_REG_VI2_DAT3</t>
    <phoneticPr fontId="1" type="noConversion"/>
  </si>
  <si>
    <t>0x34400094</t>
    <phoneticPr fontId="1" type="noConversion"/>
  </si>
  <si>
    <t>PAD38_G2_REG_VI2_DAT2</t>
    <phoneticPr fontId="1" type="noConversion"/>
  </si>
  <si>
    <t>0x34400098</t>
    <phoneticPr fontId="1" type="noConversion"/>
  </si>
  <si>
    <t>PAD39_G2_REG_VI2_DAT1</t>
    <phoneticPr fontId="1" type="noConversion"/>
  </si>
  <si>
    <t>0x3440009C</t>
    <phoneticPr fontId="1" type="noConversion"/>
  </si>
  <si>
    <t>PAD40_G2_REG_VI2_DAT0</t>
    <phoneticPr fontId="1" type="noConversion"/>
  </si>
  <si>
    <t>0x344000A0</t>
    <phoneticPr fontId="1" type="noConversion"/>
  </si>
  <si>
    <t>PAD41_G2_REG_VI_ADC_REFCLK3</t>
    <phoneticPr fontId="1" type="noConversion"/>
  </si>
  <si>
    <t>0x344000A4</t>
    <phoneticPr fontId="1" type="noConversion"/>
  </si>
  <si>
    <t>PAD42_G2_REG_VI3_CLK</t>
    <phoneticPr fontId="1" type="noConversion"/>
  </si>
  <si>
    <t>0x344000A8</t>
    <phoneticPr fontId="1" type="noConversion"/>
  </si>
  <si>
    <t>PAD43_G2_REG_VI3_DAT7</t>
    <phoneticPr fontId="1" type="noConversion"/>
  </si>
  <si>
    <t>0x344000AC</t>
    <phoneticPr fontId="1" type="noConversion"/>
  </si>
  <si>
    <t>PAD44_G2_REG_VI3_DAT6</t>
    <phoneticPr fontId="1" type="noConversion"/>
  </si>
  <si>
    <t>0x344000B0</t>
    <phoneticPr fontId="1" type="noConversion"/>
  </si>
  <si>
    <t>PAD45_G2_REG_VI3_DAT5</t>
    <phoneticPr fontId="1" type="noConversion"/>
  </si>
  <si>
    <t>0x344000B4</t>
    <phoneticPr fontId="1" type="noConversion"/>
  </si>
  <si>
    <t>PAD46_G2_REG_VI3_DAT4</t>
    <phoneticPr fontId="1" type="noConversion"/>
  </si>
  <si>
    <t>0x344000B8</t>
    <phoneticPr fontId="1" type="noConversion"/>
  </si>
  <si>
    <t>PAD47_G2_REG_VI3_DAT3</t>
    <phoneticPr fontId="1" type="noConversion"/>
  </si>
  <si>
    <t>0x344000BC</t>
    <phoneticPr fontId="1" type="noConversion"/>
  </si>
  <si>
    <t>PAD48_G2_REG_VI3_DAT2</t>
    <phoneticPr fontId="1" type="noConversion"/>
  </si>
  <si>
    <t>0x344000C0</t>
    <phoneticPr fontId="1" type="noConversion"/>
  </si>
  <si>
    <t>PAD49_G2_REG_VI3_DAT1</t>
    <phoneticPr fontId="1" type="noConversion"/>
  </si>
  <si>
    <t>0x344000C4</t>
    <phoneticPr fontId="1" type="noConversion"/>
  </si>
  <si>
    <t>PAD50_G2_REG_VI3_DAT0</t>
    <phoneticPr fontId="1" type="noConversion"/>
  </si>
  <si>
    <t>0x344000C8</t>
    <phoneticPr fontId="1" type="noConversion"/>
  </si>
  <si>
    <t>ANA_CTRL</t>
    <phoneticPr fontId="1" type="noConversion"/>
  </si>
  <si>
    <t>0x2850009C</t>
    <phoneticPr fontId="1" type="noConversion"/>
  </si>
  <si>
    <t>VDAC_GPIO</t>
    <phoneticPr fontId="1" type="noConversion"/>
  </si>
  <si>
    <t>[19]</t>
    <phoneticPr fontId="1" type="noConversion"/>
  </si>
  <si>
    <t>0x0:12mA
0x1:16mA</t>
    <phoneticPr fontId="1" type="noConversion"/>
  </si>
  <si>
    <t>VDAC_VS</t>
    <phoneticPr fontId="1" type="noConversion"/>
  </si>
  <si>
    <t>VDAC_HS</t>
    <phoneticPr fontId="1" type="noConversion"/>
  </si>
  <si>
    <t>[13]</t>
    <phoneticPr fontId="1" type="noConversion"/>
  </si>
  <si>
    <t>HDMI_HPD</t>
    <phoneticPr fontId="1" type="noConversion"/>
  </si>
  <si>
    <t>0x0:4mA
0x1:8mA
0x2:12mA
0x3:16mA</t>
    <phoneticPr fontId="1" type="noConversion"/>
  </si>
  <si>
    <t>HDMI_SCL</t>
    <phoneticPr fontId="1" type="noConversion"/>
  </si>
  <si>
    <t>HDMI_SDA</t>
    <phoneticPr fontId="1" type="noConversion"/>
  </si>
  <si>
    <t>VEU_CKG_SEL</t>
    <phoneticPr fontId="1" type="noConversion"/>
  </si>
  <si>
    <t>0x38000000</t>
    <phoneticPr fontId="1" type="noConversion"/>
  </si>
  <si>
    <t>[16:15]</t>
    <phoneticPr fontId="1" type="noConversion"/>
  </si>
  <si>
    <t>0x3</t>
    <phoneticPr fontId="1" type="noConversion"/>
  </si>
  <si>
    <t>0:24MHz (default)
1:500MHz
2:640MHz
3:768MHz</t>
    <phoneticPr fontId="1" type="noConversion"/>
  </si>
  <si>
    <t>NN_CKG_SEL</t>
    <phoneticPr fontId="1" type="noConversion"/>
  </si>
  <si>
    <t>[18:17]</t>
    <phoneticPr fontId="1" type="noConversion"/>
  </si>
  <si>
    <t>0x2</t>
    <phoneticPr fontId="1" type="noConversion"/>
  </si>
  <si>
    <t>bgm_clk_sel</t>
    <phoneticPr fontId="1" type="noConversion"/>
  </si>
  <si>
    <t>[29:28]</t>
    <phoneticPr fontId="1" type="noConversion"/>
  </si>
  <si>
    <t>3:400MHz(default)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</si>
</sst>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7030A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rgb="FF7030A0"/>
      </bottom>
      <diagonal/>
    </border>
    <border>
      <left/>
      <right/>
      <top/>
      <bottom style="double">
        <color rgb="FF7030A0"/>
      </bottom>
      <diagonal/>
    </border>
  </borders>
  <cellStyleXfs count="2">
    <xf numFmtId="0" fontId="0" fillId="0" borderId="0"/>
    <xf numFmtId="0" fontId="3" fillId="0" borderId="0"/>
  </cellStyleXfs>
  <cellXfs count="10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4" fillId="4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4" fillId="4" borderId="0" xfId="0" applyFont="1" applyFill="1" applyBorder="1"/>
    <xf numFmtId="0" fontId="0" fillId="4" borderId="0" xfId="0" applyFill="1"/>
    <xf numFmtId="0" fontId="0" fillId="4" borderId="0" xfId="0" applyFill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4" borderId="0" xfId="0" applyFill="1" applyBorder="1"/>
    <xf numFmtId="0" fontId="4" fillId="4" borderId="2" xfId="0" applyFont="1" applyFill="1" applyBorder="1"/>
    <xf numFmtId="0" fontId="0" fillId="4" borderId="2" xfId="0" applyFill="1" applyBorder="1"/>
    <xf numFmtId="0" fontId="0" fillId="4" borderId="2" xfId="0" applyFill="1" applyBorder="1" applyAlignment="1">
      <alignment horizontal="left"/>
    </xf>
    <xf numFmtId="0" fontId="0" fillId="4" borderId="3" xfId="0" applyFill="1" applyBorder="1"/>
    <xf numFmtId="0" fontId="2" fillId="4" borderId="0" xfId="0" applyFont="1" applyFill="1"/>
    <xf numFmtId="0" fontId="5" fillId="4" borderId="3" xfId="0" applyFont="1" applyFill="1" applyBorder="1"/>
    <xf numFmtId="0" fontId="5" fillId="0" borderId="1" xfId="0" applyFont="1" applyBorder="1" applyAlignment="1">
      <alignment horizontal="left"/>
    </xf>
    <xf numFmtId="0" fontId="2" fillId="6" borderId="0" xfId="0" applyFont="1" applyFill="1"/>
    <xf numFmtId="0" fontId="0" fillId="6" borderId="0" xfId="0" applyFill="1"/>
    <xf numFmtId="0" fontId="8" fillId="4" borderId="1" xfId="0" applyFont="1" applyFill="1" applyBorder="1"/>
    <xf numFmtId="0" fontId="0" fillId="7" borderId="1" xfId="0" applyFill="1" applyBorder="1"/>
    <xf numFmtId="0" fontId="7" fillId="7" borderId="1" xfId="0" applyFont="1" applyFill="1" applyBorder="1"/>
    <xf numFmtId="0" fontId="0" fillId="7" borderId="1" xfId="0" applyFill="1" applyBorder="1" applyAlignment="1">
      <alignment horizontal="left"/>
    </xf>
    <xf numFmtId="0" fontId="0" fillId="7" borderId="1" xfId="0" applyFill="1" applyBorder="1" applyAlignment="1">
      <alignment wrapText="1"/>
    </xf>
    <xf numFmtId="0" fontId="0" fillId="8" borderId="1" xfId="0" applyFill="1" applyBorder="1"/>
    <xf numFmtId="0" fontId="7" fillId="8" borderId="1" xfId="0" applyFont="1" applyFill="1" applyBorder="1"/>
    <xf numFmtId="0" fontId="0" fillId="8" borderId="1" xfId="0" applyFill="1" applyBorder="1" applyAlignment="1">
      <alignment horizontal="left"/>
    </xf>
    <xf numFmtId="0" fontId="0" fillId="8" borderId="1" xfId="0" applyFill="1" applyBorder="1" applyAlignment="1">
      <alignment wrapText="1"/>
    </xf>
    <xf numFmtId="0" fontId="0" fillId="4" borderId="5" xfId="0" applyFill="1" applyBorder="1"/>
    <xf numFmtId="0" fontId="0" fillId="4" borderId="5" xfId="0" applyFill="1" applyBorder="1" applyAlignment="1">
      <alignment horizontal="left"/>
    </xf>
    <xf numFmtId="0" fontId="7" fillId="10" borderId="1" xfId="0" applyFont="1" applyFill="1" applyBorder="1"/>
    <xf numFmtId="0" fontId="0" fillId="10" borderId="1" xfId="0" applyFill="1" applyBorder="1"/>
    <xf numFmtId="0" fontId="0" fillId="10" borderId="1" xfId="0" applyFill="1" applyBorder="1" applyAlignment="1">
      <alignment horizontal="left"/>
    </xf>
    <xf numFmtId="0" fontId="8" fillId="10" borderId="1" xfId="0" applyFont="1" applyFill="1" applyBorder="1"/>
    <xf numFmtId="0" fontId="0" fillId="3" borderId="1" xfId="0" applyFill="1" applyBorder="1"/>
    <xf numFmtId="0" fontId="7" fillId="3" borderId="1" xfId="0" applyFont="1" applyFill="1" applyBorder="1"/>
    <xf numFmtId="0" fontId="8" fillId="3" borderId="1" xfId="0" applyFont="1" applyFill="1" applyBorder="1"/>
    <xf numFmtId="0" fontId="0" fillId="3" borderId="1" xfId="0" applyFill="1" applyBorder="1" applyAlignment="1">
      <alignment horizontal="left"/>
    </xf>
    <xf numFmtId="0" fontId="5" fillId="3" borderId="1" xfId="0" applyFont="1" applyFill="1" applyBorder="1"/>
    <xf numFmtId="0" fontId="0" fillId="10" borderId="4" xfId="0" applyFill="1" applyBorder="1"/>
    <xf numFmtId="0" fontId="8" fillId="10" borderId="5" xfId="0" applyFont="1" applyFill="1" applyBorder="1"/>
    <xf numFmtId="0" fontId="0" fillId="10" borderId="5" xfId="0" applyFill="1" applyBorder="1"/>
    <xf numFmtId="0" fontId="0" fillId="10" borderId="5" xfId="0" applyFill="1" applyBorder="1" applyAlignment="1">
      <alignment horizontal="left"/>
    </xf>
    <xf numFmtId="0" fontId="8" fillId="9" borderId="1" xfId="0" applyFont="1" applyFill="1" applyBorder="1"/>
    <xf numFmtId="0" fontId="5" fillId="9" borderId="1" xfId="0" applyFont="1" applyFill="1" applyBorder="1"/>
    <xf numFmtId="0" fontId="0" fillId="9" borderId="1" xfId="0" applyFill="1" applyBorder="1"/>
    <xf numFmtId="0" fontId="0" fillId="9" borderId="1" xfId="0" applyFill="1" applyBorder="1" applyAlignment="1">
      <alignment horizontal="left"/>
    </xf>
    <xf numFmtId="0" fontId="2" fillId="6" borderId="1" xfId="0" applyFont="1" applyFill="1" applyBorder="1"/>
    <xf numFmtId="0" fontId="0" fillId="6" borderId="1" xfId="0" applyFill="1" applyBorder="1"/>
    <xf numFmtId="0" fontId="6" fillId="0" borderId="1" xfId="0" applyFont="1" applyBorder="1" applyAlignment="1">
      <alignment horizontal="left"/>
    </xf>
    <xf numFmtId="0" fontId="4" fillId="7" borderId="1" xfId="0" applyFont="1" applyFill="1" applyBorder="1"/>
    <xf numFmtId="0" fontId="0" fillId="11" borderId="1" xfId="0" applyFill="1" applyBorder="1"/>
    <xf numFmtId="0" fontId="0" fillId="4" borderId="1" xfId="0" applyFill="1" applyBorder="1" applyAlignment="1">
      <alignment horizontal="center" wrapText="1"/>
    </xf>
    <xf numFmtId="0" fontId="0" fillId="4" borderId="1" xfId="0" applyFill="1" applyBorder="1" applyAlignment="1"/>
    <xf numFmtId="0" fontId="8" fillId="0" borderId="1" xfId="0" applyFont="1" applyBorder="1"/>
    <xf numFmtId="0" fontId="0" fillId="4" borderId="1" xfId="0" quotePrefix="1" applyFill="1" applyBorder="1" applyAlignment="1">
      <alignment horizontal="left"/>
    </xf>
    <xf numFmtId="0" fontId="7" fillId="0" borderId="1" xfId="0" applyFont="1" applyBorder="1"/>
    <xf numFmtId="0" fontId="0" fillId="0" borderId="1" xfId="0" applyFont="1" applyBorder="1"/>
    <xf numFmtId="0" fontId="6" fillId="4" borderId="1" xfId="0" applyFont="1" applyFill="1" applyBorder="1"/>
    <xf numFmtId="0" fontId="6" fillId="4" borderId="5" xfId="0" applyFont="1" applyFill="1" applyBorder="1"/>
    <xf numFmtId="0" fontId="6" fillId="4" borderId="2" xfId="0" applyFont="1" applyFill="1" applyBorder="1"/>
    <xf numFmtId="0" fontId="8" fillId="0" borderId="1" xfId="0" applyFont="1" applyFill="1" applyBorder="1"/>
    <xf numFmtId="0" fontId="0" fillId="6" borderId="1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0" borderId="2" xfId="0" applyBorder="1"/>
    <xf numFmtId="0" fontId="0" fillId="4" borderId="7" xfId="0" applyFill="1" applyBorder="1"/>
    <xf numFmtId="0" fontId="0" fillId="4" borderId="7" xfId="0" applyFill="1" applyBorder="1" applyAlignment="1">
      <alignment horizontal="left"/>
    </xf>
    <xf numFmtId="0" fontId="0" fillId="4" borderId="8" xfId="0" applyFill="1" applyBorder="1"/>
    <xf numFmtId="0" fontId="0" fillId="0" borderId="7" xfId="0" applyBorder="1"/>
    <xf numFmtId="0" fontId="4" fillId="0" borderId="1" xfId="0" applyFont="1" applyBorder="1"/>
    <xf numFmtId="0" fontId="5" fillId="0" borderId="1" xfId="0" applyFont="1" applyBorder="1"/>
    <xf numFmtId="0" fontId="0" fillId="0" borderId="0" xfId="0" applyFill="1" applyBorder="1" applyAlignment="1">
      <alignment horizontal="left" vertical="top"/>
    </xf>
    <xf numFmtId="0" fontId="4" fillId="0" borderId="0" xfId="0" applyFont="1"/>
    <xf numFmtId="0" fontId="0" fillId="2" borderId="1" xfId="0" applyFill="1" applyBorder="1" applyAlignment="1">
      <alignment horizontal="left" wrapText="1"/>
    </xf>
    <xf numFmtId="0" fontId="4" fillId="4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left"/>
    </xf>
    <xf numFmtId="0" fontId="4" fillId="11" borderId="1" xfId="0" applyFont="1" applyFill="1" applyBorder="1" applyAlignment="1">
      <alignment horizontal="left"/>
    </xf>
    <xf numFmtId="0" fontId="5" fillId="11" borderId="1" xfId="0" applyFont="1" applyFill="1" applyBorder="1" applyAlignment="1">
      <alignment horizontal="left"/>
    </xf>
    <xf numFmtId="0" fontId="0" fillId="11" borderId="1" xfId="0" applyFill="1" applyBorder="1" applyAlignment="1">
      <alignment horizontal="left"/>
    </xf>
    <xf numFmtId="0" fontId="0" fillId="5" borderId="6" xfId="0" applyFill="1" applyBorder="1"/>
    <xf numFmtId="0" fontId="2" fillId="0" borderId="0" xfId="0" applyFont="1"/>
    <xf numFmtId="0" fontId="8" fillId="6" borderId="1" xfId="0" applyFont="1" applyFill="1" applyBorder="1" applyAlignment="1">
      <alignment horizontal="left"/>
    </xf>
    <xf numFmtId="0" fontId="0" fillId="12" borderId="1" xfId="0" applyFill="1" applyBorder="1"/>
    <xf numFmtId="0" fontId="0" fillId="12" borderId="1" xfId="0" applyFill="1" applyBorder="1" applyAlignment="1">
      <alignment horizontal="left"/>
    </xf>
    <xf numFmtId="0" fontId="0" fillId="0" borderId="1" xfId="0" applyBorder="1" applyAlignment="1">
      <alignment wrapText="1"/>
    </xf>
    <xf numFmtId="0" fontId="0" fillId="13" borderId="1" xfId="0" applyFill="1" applyBorder="1"/>
    <xf numFmtId="0" fontId="0" fillId="13" borderId="1" xfId="0" applyFill="1" applyBorder="1" applyAlignment="1">
      <alignment horizontal="left"/>
    </xf>
    <xf numFmtId="0" fontId="0" fillId="14" borderId="1" xfId="0" applyFill="1" applyBorder="1"/>
    <xf numFmtId="0" fontId="0" fillId="14" borderId="1" xfId="0" applyFill="1" applyBorder="1" applyAlignment="1">
      <alignment horizontal="left"/>
    </xf>
    <xf numFmtId="0" fontId="0" fillId="13" borderId="1" xfId="0" applyFill="1" applyBorder="1" applyAlignment="1">
      <alignment wrapText="1"/>
    </xf>
    <xf numFmtId="0" fontId="0" fillId="15" borderId="1" xfId="0" applyFill="1" applyBorder="1"/>
    <xf numFmtId="0" fontId="0" fillId="15" borderId="1" xfId="0" applyFill="1" applyBorder="1" applyAlignment="1">
      <alignment horizontal="left"/>
    </xf>
    <xf numFmtId="0" fontId="0" fillId="15" borderId="1" xfId="0" applyFill="1" applyBorder="1" applyAlignment="1">
      <alignment wrapText="1"/>
    </xf>
    <xf numFmtId="0" fontId="0" fillId="0" borderId="5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0" fillId="4" borderId="4" xfId="0" applyFill="1" applyBorder="1" applyAlignment="1">
      <alignment horizontal="center" vertical="center"/>
    </xf>
    <xf numFmtId="0" fontId="0" fillId="3" borderId="0" xfId="0" applyFill="1" applyBorder="1" applyAlignment="1">
      <alignment horizontal="left" vertical="center" wrapText="1"/>
    </xf>
    <xf numFmtId="0" fontId="0" fillId="3" borderId="0" xfId="0" applyFill="1" applyBorder="1" applyAlignment="1">
      <alignment horizontal="left" vertical="center"/>
    </xf>
    <xf numFmtId="0" fontId="0" fillId="11" borderId="4" xfId="0" applyFill="1" applyBorder="1" applyAlignment="1">
      <alignment horizontal="left" vertical="center" wrapText="1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workbookViewId="0">
      <selection activeCell="C24" sqref="C24:E24"/>
    </sheetView>
  </sheetViews>
  <sheetFormatPr defaultRowHeight="14" x14ac:dyDescent="0.3"/>
  <cols>
    <col min="1" max="1" width="30.33203125" style="9" customWidth="1"/>
    <col min="2" max="2" width="16.75" style="9" customWidth="1"/>
    <col min="3" max="3" width="40" style="9" customWidth="1"/>
    <col min="4" max="4" width="20.58203125" style="9" customWidth="1"/>
    <col min="5" max="5" width="20.58203125" style="10" customWidth="1"/>
    <col min="6" max="6" width="35" customWidth="1"/>
  </cols>
  <sheetData>
    <row r="1" spans="1:6" x14ac:dyDescent="0.3">
      <c r="A1" s="13" t="s">
        <v>0</v>
      </c>
      <c r="B1" s="13" t="s">
        <v>183</v>
      </c>
      <c r="C1" s="13"/>
      <c r="D1" s="13"/>
      <c r="E1" s="14"/>
      <c r="F1" s="14"/>
    </row>
    <row r="2" spans="1:6" x14ac:dyDescent="0.3">
      <c r="A2" s="13" t="s">
        <v>1</v>
      </c>
      <c r="B2" s="13" t="s">
        <v>97</v>
      </c>
      <c r="C2" s="13"/>
      <c r="D2" s="13"/>
      <c r="E2" s="14"/>
      <c r="F2" s="14"/>
    </row>
    <row r="3" spans="1:6" x14ac:dyDescent="0.3">
      <c r="A3" s="13" t="s">
        <v>2</v>
      </c>
      <c r="B3" s="13" t="s">
        <v>3</v>
      </c>
      <c r="C3" s="13" t="s">
        <v>5</v>
      </c>
      <c r="D3" s="13" t="s">
        <v>6</v>
      </c>
      <c r="E3" s="14" t="s">
        <v>4</v>
      </c>
      <c r="F3" s="88" t="s">
        <v>1118</v>
      </c>
    </row>
    <row r="4" spans="1:6" ht="13.5" customHeight="1" x14ac:dyDescent="0.3">
      <c r="A4" s="4" t="s">
        <v>290</v>
      </c>
      <c r="B4" s="4" t="s">
        <v>291</v>
      </c>
      <c r="C4" s="4" t="s">
        <v>292</v>
      </c>
      <c r="D4" s="4" t="s">
        <v>293</v>
      </c>
      <c r="E4" s="57" t="s">
        <v>294</v>
      </c>
      <c r="F4" s="89" t="s">
        <v>980</v>
      </c>
    </row>
    <row r="5" spans="1:6" x14ac:dyDescent="0.3">
      <c r="A5" s="66" t="s">
        <v>172</v>
      </c>
      <c r="B5" s="66" t="s">
        <v>107</v>
      </c>
      <c r="C5" s="66" t="s">
        <v>172</v>
      </c>
      <c r="D5" s="9" t="s">
        <v>15</v>
      </c>
      <c r="E5" s="10" t="s">
        <v>296</v>
      </c>
      <c r="F5" s="89" t="s">
        <v>1114</v>
      </c>
    </row>
    <row r="6" spans="1:6" ht="16" customHeight="1" x14ac:dyDescent="0.3">
      <c r="A6" s="4" t="s">
        <v>124</v>
      </c>
      <c r="B6" s="4" t="s">
        <v>123</v>
      </c>
      <c r="C6" s="4" t="s">
        <v>124</v>
      </c>
      <c r="D6" s="4" t="s">
        <v>125</v>
      </c>
      <c r="E6" s="5" t="s">
        <v>289</v>
      </c>
      <c r="F6" s="102" t="s">
        <v>981</v>
      </c>
    </row>
    <row r="7" spans="1:6" ht="13.5" customHeight="1" x14ac:dyDescent="0.3">
      <c r="A7" s="4"/>
      <c r="B7" s="4"/>
      <c r="C7" s="4"/>
      <c r="D7" s="4" t="s">
        <v>126</v>
      </c>
      <c r="E7" s="24" t="s">
        <v>1113</v>
      </c>
      <c r="F7" s="103"/>
    </row>
    <row r="8" spans="1:6" ht="13.5" customHeight="1" x14ac:dyDescent="0.3">
      <c r="A8" s="65" t="s">
        <v>290</v>
      </c>
      <c r="B8" s="65" t="s">
        <v>291</v>
      </c>
      <c r="C8" s="65" t="s">
        <v>292</v>
      </c>
      <c r="D8" s="4" t="s">
        <v>293</v>
      </c>
      <c r="E8" s="57" t="s">
        <v>295</v>
      </c>
      <c r="F8" s="103"/>
    </row>
    <row r="9" spans="1:6" x14ac:dyDescent="0.3">
      <c r="A9" s="66" t="s">
        <v>121</v>
      </c>
      <c r="B9" s="66" t="s">
        <v>273</v>
      </c>
      <c r="C9" s="66" t="s">
        <v>121</v>
      </c>
      <c r="D9" s="9" t="s">
        <v>122</v>
      </c>
      <c r="E9" s="10" t="s">
        <v>115</v>
      </c>
      <c r="F9" s="103"/>
    </row>
    <row r="10" spans="1:6" x14ac:dyDescent="0.3">
      <c r="A10" s="66" t="s">
        <v>111</v>
      </c>
      <c r="B10" s="66" t="s">
        <v>112</v>
      </c>
      <c r="C10" s="66" t="s">
        <v>173</v>
      </c>
      <c r="D10" s="9" t="s">
        <v>14</v>
      </c>
      <c r="E10" s="10" t="s">
        <v>22</v>
      </c>
      <c r="F10" s="103"/>
    </row>
    <row r="11" spans="1:6" x14ac:dyDescent="0.3">
      <c r="A11" s="66" t="s">
        <v>109</v>
      </c>
      <c r="B11" s="66" t="s">
        <v>110</v>
      </c>
      <c r="C11" s="66" t="s">
        <v>175</v>
      </c>
      <c r="D11" s="9" t="s">
        <v>176</v>
      </c>
      <c r="E11" s="10" t="s">
        <v>22</v>
      </c>
      <c r="F11" s="103"/>
    </row>
    <row r="12" spans="1:6" x14ac:dyDescent="0.3">
      <c r="A12" s="67"/>
      <c r="B12" s="67"/>
      <c r="C12" s="67" t="s">
        <v>268</v>
      </c>
      <c r="D12" s="36" t="s">
        <v>269</v>
      </c>
      <c r="E12" s="37" t="s">
        <v>270</v>
      </c>
      <c r="F12" s="103"/>
    </row>
    <row r="13" spans="1:6" x14ac:dyDescent="0.3">
      <c r="A13" s="67"/>
      <c r="B13" s="67"/>
      <c r="C13" s="67" t="s">
        <v>271</v>
      </c>
      <c r="D13" s="36" t="s">
        <v>272</v>
      </c>
      <c r="E13" s="37" t="s">
        <v>270</v>
      </c>
      <c r="F13" s="103"/>
    </row>
    <row r="14" spans="1:6" x14ac:dyDescent="0.3">
      <c r="A14" s="67"/>
      <c r="B14" s="67"/>
      <c r="C14" s="67" t="s">
        <v>1092</v>
      </c>
      <c r="D14" s="36" t="s">
        <v>1101</v>
      </c>
      <c r="E14" s="37" t="s">
        <v>1073</v>
      </c>
    </row>
    <row r="15" spans="1:6" x14ac:dyDescent="0.3">
      <c r="A15" s="67"/>
      <c r="B15" s="67"/>
      <c r="C15" s="67" t="s">
        <v>1093</v>
      </c>
      <c r="D15" s="36" t="s">
        <v>1102</v>
      </c>
      <c r="E15" s="37" t="s">
        <v>1073</v>
      </c>
    </row>
    <row r="16" spans="1:6" x14ac:dyDescent="0.3">
      <c r="A16" s="67"/>
      <c r="B16" s="67"/>
      <c r="C16" s="67" t="s">
        <v>1094</v>
      </c>
      <c r="D16" s="36" t="s">
        <v>1103</v>
      </c>
      <c r="E16" s="37" t="s">
        <v>1073</v>
      </c>
    </row>
    <row r="17" spans="1:6" x14ac:dyDescent="0.3">
      <c r="A17" s="67"/>
      <c r="B17" s="67"/>
      <c r="C17" s="67" t="s">
        <v>1095</v>
      </c>
      <c r="D17" s="36" t="s">
        <v>1104</v>
      </c>
      <c r="E17" s="37" t="s">
        <v>1073</v>
      </c>
    </row>
    <row r="18" spans="1:6" x14ac:dyDescent="0.3">
      <c r="A18" s="67"/>
      <c r="B18" s="67"/>
      <c r="C18" s="67" t="s">
        <v>1096</v>
      </c>
      <c r="D18" s="36" t="s">
        <v>435</v>
      </c>
      <c r="E18" s="37" t="s">
        <v>1073</v>
      </c>
    </row>
    <row r="19" spans="1:6" x14ac:dyDescent="0.3">
      <c r="A19" s="67"/>
      <c r="B19" s="67"/>
      <c r="C19" s="67" t="s">
        <v>1097</v>
      </c>
      <c r="D19" s="36" t="s">
        <v>436</v>
      </c>
      <c r="E19" s="37" t="s">
        <v>1073</v>
      </c>
    </row>
    <row r="20" spans="1:6" x14ac:dyDescent="0.3">
      <c r="A20" s="67"/>
      <c r="B20" s="67"/>
      <c r="C20" s="67" t="s">
        <v>1098</v>
      </c>
      <c r="D20" s="36" t="s">
        <v>1105</v>
      </c>
      <c r="E20" s="37" t="s">
        <v>1073</v>
      </c>
    </row>
    <row r="21" spans="1:6" x14ac:dyDescent="0.3">
      <c r="A21" s="67"/>
      <c r="B21" s="67"/>
      <c r="C21" s="67" t="s">
        <v>1099</v>
      </c>
      <c r="D21" s="36" t="s">
        <v>428</v>
      </c>
      <c r="E21" s="37" t="s">
        <v>1073</v>
      </c>
    </row>
    <row r="22" spans="1:6" x14ac:dyDescent="0.3">
      <c r="A22" s="67"/>
      <c r="B22" s="67"/>
      <c r="C22" s="67" t="s">
        <v>1100</v>
      </c>
      <c r="D22" s="36" t="s">
        <v>1106</v>
      </c>
      <c r="E22" s="37" t="s">
        <v>1073</v>
      </c>
      <c r="F22" s="79"/>
    </row>
    <row r="23" spans="1:6" x14ac:dyDescent="0.3">
      <c r="A23" s="67"/>
      <c r="B23" s="67"/>
      <c r="C23" s="67" t="s">
        <v>174</v>
      </c>
      <c r="D23" s="36" t="s">
        <v>14</v>
      </c>
      <c r="E23" s="37" t="s">
        <v>108</v>
      </c>
    </row>
    <row r="24" spans="1:6" x14ac:dyDescent="0.3">
      <c r="A24" s="66" t="s">
        <v>1111</v>
      </c>
      <c r="B24" s="66" t="s">
        <v>1112</v>
      </c>
      <c r="C24" s="56" t="s">
        <v>1107</v>
      </c>
      <c r="D24" s="56" t="s">
        <v>1108</v>
      </c>
      <c r="E24" s="70" t="s">
        <v>1109</v>
      </c>
      <c r="F24" s="80" t="s">
        <v>1110</v>
      </c>
    </row>
    <row r="25" spans="1:6" x14ac:dyDescent="0.3">
      <c r="A25" s="66" t="s">
        <v>101</v>
      </c>
      <c r="B25" s="66" t="s">
        <v>102</v>
      </c>
      <c r="C25" s="66" t="s">
        <v>170</v>
      </c>
      <c r="D25" s="9" t="s">
        <v>103</v>
      </c>
      <c r="E25" s="4" t="s">
        <v>1091</v>
      </c>
    </row>
    <row r="26" spans="1:6" x14ac:dyDescent="0.3">
      <c r="A26" s="68"/>
      <c r="B26" s="68"/>
      <c r="C26" s="68" t="s">
        <v>171</v>
      </c>
      <c r="D26" s="19" t="s">
        <v>7</v>
      </c>
      <c r="E26" s="72" t="s">
        <v>1091</v>
      </c>
    </row>
    <row r="27" spans="1:6" x14ac:dyDescent="0.3">
      <c r="A27" s="66"/>
      <c r="B27" s="66"/>
      <c r="C27" s="66" t="s">
        <v>158</v>
      </c>
      <c r="D27" s="9" t="s">
        <v>8</v>
      </c>
      <c r="E27" s="4" t="s">
        <v>1091</v>
      </c>
    </row>
    <row r="28" spans="1:6" x14ac:dyDescent="0.3">
      <c r="A28" s="66"/>
      <c r="B28" s="66"/>
      <c r="C28" s="66" t="s">
        <v>159</v>
      </c>
      <c r="D28" s="9" t="s">
        <v>9</v>
      </c>
      <c r="E28" s="4" t="s">
        <v>1091</v>
      </c>
    </row>
    <row r="29" spans="1:6" x14ac:dyDescent="0.3">
      <c r="A29" s="66"/>
      <c r="B29" s="66"/>
      <c r="C29" s="66" t="s">
        <v>160</v>
      </c>
      <c r="D29" s="9" t="s">
        <v>10</v>
      </c>
      <c r="E29" s="4" t="s">
        <v>331</v>
      </c>
    </row>
    <row r="30" spans="1:6" x14ac:dyDescent="0.3">
      <c r="A30" s="66"/>
      <c r="B30" s="66"/>
      <c r="C30" s="66" t="s">
        <v>161</v>
      </c>
      <c r="D30" s="9" t="s">
        <v>11</v>
      </c>
      <c r="E30" s="4" t="s">
        <v>331</v>
      </c>
    </row>
    <row r="31" spans="1:6" x14ac:dyDescent="0.3">
      <c r="A31" s="66"/>
      <c r="B31" s="66"/>
      <c r="C31" s="66" t="s">
        <v>162</v>
      </c>
      <c r="D31" s="9" t="s">
        <v>43</v>
      </c>
      <c r="E31" s="4" t="s">
        <v>979</v>
      </c>
    </row>
    <row r="32" spans="1:6" x14ac:dyDescent="0.3">
      <c r="A32" s="66"/>
      <c r="B32" s="66"/>
      <c r="C32" s="66" t="s">
        <v>163</v>
      </c>
      <c r="D32" s="9" t="s">
        <v>104</v>
      </c>
      <c r="E32" s="4" t="s">
        <v>979</v>
      </c>
    </row>
    <row r="33" spans="1:5" x14ac:dyDescent="0.3">
      <c r="A33" s="66" t="s">
        <v>105</v>
      </c>
      <c r="B33" s="66" t="s">
        <v>106</v>
      </c>
      <c r="C33" s="66" t="s">
        <v>164</v>
      </c>
      <c r="D33" s="9" t="s">
        <v>8</v>
      </c>
      <c r="E33" s="4" t="s">
        <v>978</v>
      </c>
    </row>
    <row r="34" spans="1:5" x14ac:dyDescent="0.3">
      <c r="A34" s="66"/>
      <c r="B34" s="66"/>
      <c r="C34" s="66" t="s">
        <v>165</v>
      </c>
      <c r="D34" s="9" t="s">
        <v>9</v>
      </c>
      <c r="E34" s="4" t="s">
        <v>331</v>
      </c>
    </row>
    <row r="35" spans="1:5" x14ac:dyDescent="0.3">
      <c r="C35" s="9" t="s">
        <v>166</v>
      </c>
      <c r="D35" s="9" t="s">
        <v>10</v>
      </c>
      <c r="E35" s="4" t="s">
        <v>1091</v>
      </c>
    </row>
    <row r="36" spans="1:5" x14ac:dyDescent="0.3">
      <c r="C36" s="9" t="s">
        <v>167</v>
      </c>
      <c r="D36" s="9" t="s">
        <v>11</v>
      </c>
      <c r="E36" s="4" t="s">
        <v>1091</v>
      </c>
    </row>
    <row r="37" spans="1:5" x14ac:dyDescent="0.3">
      <c r="C37" s="9" t="s">
        <v>168</v>
      </c>
      <c r="D37" s="9" t="s">
        <v>43</v>
      </c>
      <c r="E37" s="4" t="s">
        <v>1091</v>
      </c>
    </row>
    <row r="38" spans="1:5" x14ac:dyDescent="0.3">
      <c r="C38" s="9" t="s">
        <v>169</v>
      </c>
      <c r="D38" s="9" t="s">
        <v>12</v>
      </c>
      <c r="E38" s="4" t="s">
        <v>1091</v>
      </c>
    </row>
  </sheetData>
  <mergeCells count="1">
    <mergeCell ref="F6:F1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2"/>
  <sheetViews>
    <sheetView topLeftCell="A41" zoomScaleNormal="100" workbookViewId="0">
      <selection activeCell="F64" sqref="F64:F66"/>
    </sheetView>
  </sheetViews>
  <sheetFormatPr defaultColWidth="9" defaultRowHeight="14" x14ac:dyDescent="0.3"/>
  <cols>
    <col min="1" max="1" width="30.33203125" style="9" customWidth="1"/>
    <col min="2" max="2" width="14.08203125" style="10" customWidth="1"/>
    <col min="3" max="3" width="31.83203125" style="9" customWidth="1"/>
    <col min="4" max="4" width="13.33203125" style="9" customWidth="1"/>
    <col min="5" max="5" width="13.08203125" style="10" customWidth="1"/>
    <col min="6" max="6" width="16.58203125" style="10" customWidth="1"/>
    <col min="7" max="16384" width="9" style="17"/>
  </cols>
  <sheetData>
    <row r="1" spans="1:6" ht="28" x14ac:dyDescent="0.3">
      <c r="A1" s="15"/>
      <c r="B1" s="81" t="s">
        <v>1115</v>
      </c>
      <c r="C1" s="60"/>
      <c r="D1" s="60"/>
      <c r="E1" s="60"/>
      <c r="F1" s="60"/>
    </row>
    <row r="2" spans="1:6" x14ac:dyDescent="0.3">
      <c r="A2" s="15" t="s">
        <v>509</v>
      </c>
      <c r="B2" s="81">
        <v>2400</v>
      </c>
      <c r="C2" s="60"/>
      <c r="D2" s="60"/>
      <c r="E2" s="60"/>
      <c r="F2" s="60"/>
    </row>
    <row r="3" spans="1:6" x14ac:dyDescent="0.3">
      <c r="A3" s="15" t="s">
        <v>510</v>
      </c>
      <c r="B3" s="16" t="s">
        <v>1116</v>
      </c>
      <c r="C3" s="10"/>
      <c r="D3" s="10"/>
    </row>
    <row r="4" spans="1:6" x14ac:dyDescent="0.3">
      <c r="A4" s="15" t="s">
        <v>511</v>
      </c>
      <c r="B4" s="16">
        <v>257</v>
      </c>
      <c r="C4" s="10"/>
      <c r="D4" s="10"/>
    </row>
    <row r="5" spans="1:6" x14ac:dyDescent="0.3">
      <c r="A5" s="15" t="s">
        <v>512</v>
      </c>
      <c r="B5" s="16" t="s">
        <v>1117</v>
      </c>
      <c r="C5" s="10"/>
      <c r="D5" s="10"/>
    </row>
    <row r="6" spans="1:6" x14ac:dyDescent="0.3">
      <c r="A6" s="15" t="s">
        <v>513</v>
      </c>
      <c r="B6" s="16" t="s">
        <v>514</v>
      </c>
      <c r="C6" s="10"/>
      <c r="D6" s="10"/>
    </row>
    <row r="7" spans="1:6" x14ac:dyDescent="0.3">
      <c r="A7" s="15" t="s">
        <v>516</v>
      </c>
      <c r="B7" s="16" t="s">
        <v>21</v>
      </c>
      <c r="C7" s="10"/>
      <c r="D7" s="10"/>
    </row>
    <row r="8" spans="1:6" x14ac:dyDescent="0.3">
      <c r="A8" s="15" t="s">
        <v>519</v>
      </c>
      <c r="B8" s="16" t="s">
        <v>903</v>
      </c>
      <c r="C8" s="10"/>
      <c r="D8" s="10"/>
    </row>
    <row r="9" spans="1:6" x14ac:dyDescent="0.3">
      <c r="A9" s="15" t="s">
        <v>520</v>
      </c>
      <c r="B9" s="16" t="s">
        <v>904</v>
      </c>
      <c r="C9" s="10"/>
      <c r="D9" s="10"/>
    </row>
    <row r="10" spans="1:6" x14ac:dyDescent="0.3">
      <c r="A10" s="15" t="s">
        <v>521</v>
      </c>
      <c r="B10" s="16">
        <v>0</v>
      </c>
      <c r="C10" s="10"/>
      <c r="D10" s="10"/>
    </row>
    <row r="11" spans="1:6" x14ac:dyDescent="0.3">
      <c r="A11" s="15" t="s">
        <v>522</v>
      </c>
      <c r="B11" s="16">
        <v>0</v>
      </c>
      <c r="C11" s="10"/>
      <c r="D11" s="10"/>
    </row>
    <row r="12" spans="1:6" x14ac:dyDescent="0.3">
      <c r="A12" s="15" t="s">
        <v>523</v>
      </c>
      <c r="B12" s="16">
        <v>17</v>
      </c>
      <c r="C12" s="61"/>
      <c r="D12" s="61"/>
      <c r="E12" s="61"/>
      <c r="F12" s="61"/>
    </row>
    <row r="13" spans="1:6" x14ac:dyDescent="0.3">
      <c r="A13" s="15" t="s">
        <v>524</v>
      </c>
      <c r="B13" s="16">
        <f>B12+2</f>
        <v>19</v>
      </c>
      <c r="C13" s="61"/>
      <c r="D13" s="61"/>
      <c r="E13" s="61"/>
      <c r="F13" s="61"/>
    </row>
    <row r="14" spans="1:6" x14ac:dyDescent="0.3">
      <c r="A14" s="15" t="s">
        <v>525</v>
      </c>
      <c r="B14" s="16">
        <v>12</v>
      </c>
      <c r="C14" s="10"/>
      <c r="D14" s="10"/>
    </row>
    <row r="15" spans="1:6" x14ac:dyDescent="0.3">
      <c r="A15" s="15" t="s">
        <v>526</v>
      </c>
      <c r="B15" s="16">
        <v>8</v>
      </c>
      <c r="C15" s="10"/>
      <c r="D15" s="10"/>
    </row>
    <row r="16" spans="1:6" x14ac:dyDescent="0.3">
      <c r="A16" s="15" t="s">
        <v>437</v>
      </c>
      <c r="B16" s="16">
        <f>B10+B11+B14</f>
        <v>12</v>
      </c>
      <c r="C16" s="10"/>
      <c r="D16" s="10"/>
    </row>
    <row r="17" spans="1:6" x14ac:dyDescent="0.3">
      <c r="A17" s="15" t="s">
        <v>527</v>
      </c>
      <c r="B17" s="16">
        <f>B10+B11+B12</f>
        <v>17</v>
      </c>
      <c r="C17" s="10"/>
      <c r="D17" s="10"/>
    </row>
    <row r="18" spans="1:6" x14ac:dyDescent="0.3">
      <c r="A18" s="15" t="s">
        <v>528</v>
      </c>
      <c r="B18" s="16">
        <f>ROUNDUP(B37/(2000/B2),0)</f>
        <v>18</v>
      </c>
      <c r="C18" s="10"/>
      <c r="D18" s="10"/>
    </row>
    <row r="19" spans="1:6" x14ac:dyDescent="0.3">
      <c r="A19" s="15" t="s">
        <v>438</v>
      </c>
      <c r="B19" s="16">
        <f>ROUNDUP(B36/(2000/B2),0)</f>
        <v>9</v>
      </c>
      <c r="C19" s="10"/>
      <c r="D19" s="10"/>
    </row>
    <row r="20" spans="1:6" x14ac:dyDescent="0.3">
      <c r="A20" s="15" t="s">
        <v>529</v>
      </c>
      <c r="B20" s="16">
        <v>7800</v>
      </c>
      <c r="C20" s="61"/>
      <c r="D20" s="61"/>
      <c r="E20" s="61"/>
      <c r="F20" s="61"/>
    </row>
    <row r="21" spans="1:6" x14ac:dyDescent="0.3">
      <c r="A21" s="15" t="s">
        <v>530</v>
      </c>
      <c r="B21" s="16">
        <v>1</v>
      </c>
      <c r="C21" s="10"/>
      <c r="D21" s="10"/>
    </row>
    <row r="22" spans="1:6" x14ac:dyDescent="0.3">
      <c r="A22" s="15" t="s">
        <v>531</v>
      </c>
      <c r="B22" s="16">
        <v>1</v>
      </c>
      <c r="C22" s="10"/>
      <c r="D22" s="10"/>
    </row>
    <row r="23" spans="1:6" ht="13.5" customHeight="1" x14ac:dyDescent="0.3">
      <c r="A23" s="15" t="s">
        <v>532</v>
      </c>
      <c r="B23" s="16">
        <v>200000</v>
      </c>
      <c r="E23" s="9"/>
      <c r="F23" s="9"/>
    </row>
    <row r="24" spans="1:6" x14ac:dyDescent="0.3">
      <c r="A24" s="15" t="s">
        <v>533</v>
      </c>
      <c r="B24" s="16">
        <v>14.16</v>
      </c>
      <c r="E24" s="9"/>
      <c r="F24" s="9"/>
    </row>
    <row r="25" spans="1:6" x14ac:dyDescent="0.3">
      <c r="A25" s="15" t="s">
        <v>534</v>
      </c>
      <c r="B25" s="16">
        <v>14.16</v>
      </c>
      <c r="E25" s="9"/>
      <c r="F25" s="9"/>
    </row>
    <row r="26" spans="1:6" x14ac:dyDescent="0.3">
      <c r="A26" s="15" t="s">
        <v>535</v>
      </c>
      <c r="B26" s="16">
        <v>32</v>
      </c>
      <c r="E26" s="9"/>
      <c r="F26" s="9"/>
    </row>
    <row r="27" spans="1:6" x14ac:dyDescent="0.3">
      <c r="A27" s="15" t="s">
        <v>536</v>
      </c>
      <c r="B27" s="16">
        <f>9*B20</f>
        <v>70200</v>
      </c>
      <c r="E27" s="9"/>
      <c r="F27" s="9"/>
    </row>
    <row r="28" spans="1:6" x14ac:dyDescent="0.3">
      <c r="A28" s="15" t="s">
        <v>537</v>
      </c>
      <c r="B28" s="16">
        <v>46.16</v>
      </c>
      <c r="E28" s="9"/>
      <c r="F28" s="9"/>
    </row>
    <row r="29" spans="1:6" x14ac:dyDescent="0.3">
      <c r="A29" s="15" t="s">
        <v>538</v>
      </c>
      <c r="B29" s="16">
        <f>MAX(5, 5*(2000/B2))</f>
        <v>5</v>
      </c>
      <c r="E29" s="9"/>
      <c r="F29" s="9"/>
    </row>
    <row r="30" spans="1:6" x14ac:dyDescent="0.3">
      <c r="A30" s="15" t="s">
        <v>539</v>
      </c>
      <c r="B30" s="16">
        <f>4*(2000/B2)</f>
        <v>3.3333333333333335</v>
      </c>
      <c r="E30" s="9"/>
      <c r="F30" s="9"/>
    </row>
    <row r="31" spans="1:6" x14ac:dyDescent="0.3">
      <c r="A31" s="15" t="s">
        <v>540</v>
      </c>
      <c r="B31" s="16">
        <f>MAX(4*(2000/B2),5.3)</f>
        <v>5.3</v>
      </c>
      <c r="E31" s="9"/>
      <c r="F31" s="9"/>
    </row>
    <row r="32" spans="1:6" x14ac:dyDescent="0.3">
      <c r="A32" s="15" t="s">
        <v>541</v>
      </c>
      <c r="B32" s="16">
        <f>MAX(4*(2000/B2), 6.4)</f>
        <v>6.4</v>
      </c>
      <c r="E32" s="9"/>
      <c r="F32" s="9"/>
    </row>
    <row r="33" spans="1:6" x14ac:dyDescent="0.3">
      <c r="A33" s="15" t="s">
        <v>542</v>
      </c>
      <c r="B33" s="16">
        <f>MAX(28*(2000/B2),30)</f>
        <v>30</v>
      </c>
      <c r="E33" s="9"/>
      <c r="F33" s="9"/>
    </row>
    <row r="34" spans="1:6" x14ac:dyDescent="0.3">
      <c r="A34" s="15" t="s">
        <v>543</v>
      </c>
      <c r="B34" s="16">
        <f>MAX(2*(2000/B2),2.5)</f>
        <v>2.5</v>
      </c>
      <c r="E34" s="9"/>
      <c r="F34" s="9"/>
    </row>
    <row r="35" spans="1:6" x14ac:dyDescent="0.3">
      <c r="A35" s="15" t="s">
        <v>544</v>
      </c>
      <c r="B35" s="16">
        <f>MAX(4*(2000/B2),7.5)</f>
        <v>7.5</v>
      </c>
      <c r="E35" s="9"/>
      <c r="F35" s="9"/>
    </row>
    <row r="36" spans="1:6" x14ac:dyDescent="0.3">
      <c r="A36" s="15" t="s">
        <v>545</v>
      </c>
      <c r="B36" s="16">
        <f>MAX(4*(2000/B2),7.5)</f>
        <v>7.5</v>
      </c>
      <c r="E36" s="9"/>
      <c r="F36" s="9"/>
    </row>
    <row r="37" spans="1:6" x14ac:dyDescent="0.3">
      <c r="A37" s="15" t="s">
        <v>546</v>
      </c>
      <c r="B37" s="16">
        <v>15</v>
      </c>
      <c r="E37" s="9"/>
      <c r="F37" s="9"/>
    </row>
    <row r="38" spans="1:6" x14ac:dyDescent="0.3">
      <c r="A38" s="15" t="s">
        <v>547</v>
      </c>
      <c r="B38" s="16">
        <f>768*2000/B2</f>
        <v>640</v>
      </c>
      <c r="E38" s="9"/>
      <c r="F38" s="9"/>
    </row>
    <row r="39" spans="1:6" x14ac:dyDescent="0.3">
      <c r="A39" s="15" t="s">
        <v>548</v>
      </c>
      <c r="B39" s="16">
        <f>8*2000/B2</f>
        <v>6.666666666666667</v>
      </c>
      <c r="E39" s="9"/>
      <c r="F39" s="9"/>
    </row>
    <row r="40" spans="1:6" x14ac:dyDescent="0.3">
      <c r="A40" s="15" t="s">
        <v>549</v>
      </c>
      <c r="B40" s="16">
        <f>MAX(24*2000/B2, 15)</f>
        <v>20</v>
      </c>
      <c r="E40" s="9"/>
      <c r="F40" s="9"/>
    </row>
    <row r="41" spans="1:6" x14ac:dyDescent="0.3">
      <c r="A41" s="15" t="s">
        <v>439</v>
      </c>
      <c r="B41" s="16">
        <f>512*2000/B2</f>
        <v>426.66666666666669</v>
      </c>
      <c r="E41" s="9"/>
      <c r="F41" s="9"/>
    </row>
    <row r="42" spans="1:6" x14ac:dyDescent="0.3">
      <c r="A42" s="15" t="s">
        <v>550</v>
      </c>
      <c r="B42" s="16">
        <f>128*2000/B2</f>
        <v>106.66666666666667</v>
      </c>
      <c r="E42" s="9"/>
      <c r="F42" s="9"/>
    </row>
    <row r="43" spans="1:6" x14ac:dyDescent="0.3">
      <c r="A43" s="15" t="s">
        <v>551</v>
      </c>
      <c r="B43" s="16">
        <f>MAX(5*2000/B2,B53+10)</f>
        <v>270</v>
      </c>
      <c r="E43" s="9"/>
      <c r="F43" s="9"/>
    </row>
    <row r="44" spans="1:6" x14ac:dyDescent="0.3">
      <c r="A44" s="15" t="s">
        <v>552</v>
      </c>
      <c r="B44" s="16">
        <f>B53+10</f>
        <v>270</v>
      </c>
      <c r="E44" s="9"/>
      <c r="F44" s="9"/>
    </row>
    <row r="45" spans="1:6" x14ac:dyDescent="0.3">
      <c r="A45" s="15" t="s">
        <v>440</v>
      </c>
      <c r="B45" s="16">
        <f>B55+10</f>
        <v>120</v>
      </c>
      <c r="E45" s="9"/>
      <c r="F45" s="9"/>
    </row>
    <row r="46" spans="1:6" x14ac:dyDescent="0.3">
      <c r="A46" s="15" t="s">
        <v>553</v>
      </c>
      <c r="B46" s="16">
        <f>B38</f>
        <v>640</v>
      </c>
      <c r="E46" s="9"/>
      <c r="F46" s="9"/>
    </row>
    <row r="47" spans="1:6" x14ac:dyDescent="0.3">
      <c r="A47" s="15" t="s">
        <v>554</v>
      </c>
      <c r="B47" s="16">
        <f>B51+1*2000/B2</f>
        <v>5.833333333333333</v>
      </c>
      <c r="E47" s="9"/>
      <c r="F47" s="9"/>
    </row>
    <row r="48" spans="1:6" x14ac:dyDescent="0.3">
      <c r="A48" s="15" t="s">
        <v>441</v>
      </c>
      <c r="B48" s="16">
        <f>MAX(5*2000/B2, 10)</f>
        <v>10</v>
      </c>
      <c r="E48" s="9"/>
      <c r="F48" s="9"/>
    </row>
    <row r="49" spans="1:6" x14ac:dyDescent="0.3">
      <c r="A49" s="15" t="s">
        <v>555</v>
      </c>
      <c r="B49" s="16">
        <f>MAX(5*2000/B2,10)</f>
        <v>10</v>
      </c>
      <c r="E49" s="9"/>
      <c r="F49" s="9"/>
    </row>
    <row r="50" spans="1:6" x14ac:dyDescent="0.3">
      <c r="A50" s="15" t="s">
        <v>556</v>
      </c>
      <c r="B50" s="16">
        <f>MAX(4*2000/B2,6)</f>
        <v>6</v>
      </c>
      <c r="E50" s="9"/>
      <c r="F50" s="9"/>
    </row>
    <row r="51" spans="1:6" x14ac:dyDescent="0.3">
      <c r="A51" s="15" t="s">
        <v>442</v>
      </c>
      <c r="B51" s="16">
        <f>MAX(3*B10,5)</f>
        <v>5</v>
      </c>
      <c r="E51" s="9"/>
      <c r="F51" s="9"/>
    </row>
    <row r="52" spans="1:6" x14ac:dyDescent="0.3">
      <c r="A52" s="15" t="s">
        <v>443</v>
      </c>
      <c r="B52" s="16">
        <v>6</v>
      </c>
      <c r="E52" s="9"/>
      <c r="F52" s="9"/>
    </row>
    <row r="53" spans="1:6" x14ac:dyDescent="0.3">
      <c r="A53" s="15" t="s">
        <v>557</v>
      </c>
      <c r="B53" s="16">
        <v>260</v>
      </c>
      <c r="E53" s="9"/>
      <c r="F53" s="9"/>
    </row>
    <row r="54" spans="1:6" x14ac:dyDescent="0.3">
      <c r="A54" s="15" t="s">
        <v>558</v>
      </c>
      <c r="B54" s="16">
        <f>160</f>
        <v>160</v>
      </c>
      <c r="E54" s="9"/>
      <c r="F54" s="9"/>
    </row>
    <row r="55" spans="1:6" x14ac:dyDescent="0.3">
      <c r="A55" s="15" t="s">
        <v>559</v>
      </c>
      <c r="B55" s="16">
        <v>110</v>
      </c>
      <c r="E55" s="9"/>
      <c r="F55" s="9"/>
    </row>
    <row r="56" spans="1:6" x14ac:dyDescent="0.3">
      <c r="A56" s="15" t="s">
        <v>560</v>
      </c>
      <c r="B56" s="16">
        <f>FLOOR(((B16-3)/2),1)</f>
        <v>4</v>
      </c>
      <c r="C56" s="10"/>
      <c r="D56" s="10"/>
      <c r="E56" s="9"/>
      <c r="F56" s="9"/>
    </row>
    <row r="57" spans="1:6" x14ac:dyDescent="0.3">
      <c r="A57" s="15" t="s">
        <v>561</v>
      </c>
      <c r="B57" s="16">
        <f>FLOOR(((B17-3)/2),1)</f>
        <v>7</v>
      </c>
      <c r="C57" s="10"/>
      <c r="D57" s="10"/>
      <c r="E57" s="9"/>
      <c r="F57" s="9"/>
    </row>
    <row r="58" spans="1:6" x14ac:dyDescent="0.3">
      <c r="A58" s="15" t="s">
        <v>562</v>
      </c>
      <c r="B58" s="16">
        <v>6</v>
      </c>
      <c r="C58" s="10"/>
      <c r="D58" s="10"/>
      <c r="E58" s="9"/>
      <c r="F58" s="9"/>
    </row>
    <row r="59" spans="1:6" x14ac:dyDescent="0.3">
      <c r="A59" s="15" t="s">
        <v>563</v>
      </c>
      <c r="B59" s="16">
        <v>0</v>
      </c>
      <c r="C59" s="10"/>
      <c r="D59" s="10"/>
      <c r="E59" s="9"/>
      <c r="F59" s="9"/>
    </row>
    <row r="60" spans="1:6" x14ac:dyDescent="0.3">
      <c r="A60" s="15" t="s">
        <v>564</v>
      </c>
      <c r="B60" s="16">
        <v>32</v>
      </c>
      <c r="C60" s="10"/>
      <c r="D60" s="10"/>
      <c r="E60" s="9"/>
      <c r="F60" s="9"/>
    </row>
    <row r="61" spans="1:6" x14ac:dyDescent="0.3">
      <c r="A61" s="15" t="s">
        <v>565</v>
      </c>
      <c r="B61" s="16">
        <v>8</v>
      </c>
      <c r="C61" s="10"/>
      <c r="D61" s="10"/>
      <c r="E61" s="9"/>
      <c r="F61" s="9"/>
    </row>
    <row r="62" spans="1:6" x14ac:dyDescent="0.3">
      <c r="A62" s="15" t="s">
        <v>566</v>
      </c>
      <c r="B62" s="16">
        <v>3</v>
      </c>
      <c r="C62" s="10"/>
      <c r="D62" s="10"/>
      <c r="E62" s="9"/>
      <c r="F62" s="9"/>
    </row>
    <row r="63" spans="1:6" x14ac:dyDescent="0.3">
      <c r="A63" s="15" t="s">
        <v>567</v>
      </c>
      <c r="B63" s="16">
        <v>7</v>
      </c>
      <c r="C63" s="10"/>
      <c r="D63" s="10"/>
      <c r="E63" s="9"/>
      <c r="F63" s="9"/>
    </row>
    <row r="64" spans="1:6" x14ac:dyDescent="0.3">
      <c r="A64" s="13" t="s">
        <v>568</v>
      </c>
      <c r="B64" s="14" t="s">
        <v>444</v>
      </c>
      <c r="C64" s="13"/>
      <c r="D64" s="13"/>
      <c r="E64" s="14"/>
      <c r="F64" s="14"/>
    </row>
    <row r="65" spans="1:6" x14ac:dyDescent="0.3">
      <c r="A65" s="13" t="s">
        <v>569</v>
      </c>
      <c r="B65" s="14" t="s">
        <v>445</v>
      </c>
      <c r="C65" s="13"/>
      <c r="D65" s="13"/>
      <c r="E65" s="14"/>
      <c r="F65" s="14"/>
    </row>
    <row r="66" spans="1:6" x14ac:dyDescent="0.3">
      <c r="A66" s="13" t="s">
        <v>2</v>
      </c>
      <c r="B66" s="14" t="s">
        <v>570</v>
      </c>
      <c r="C66" s="13" t="s">
        <v>571</v>
      </c>
      <c r="D66" s="13" t="s">
        <v>572</v>
      </c>
      <c r="E66" s="14" t="s">
        <v>573</v>
      </c>
      <c r="F66" s="88" t="s">
        <v>1118</v>
      </c>
    </row>
    <row r="67" spans="1:6" x14ac:dyDescent="0.3">
      <c r="A67" s="3" t="s">
        <v>574</v>
      </c>
      <c r="B67" s="10" t="s">
        <v>575</v>
      </c>
      <c r="C67" s="9" t="s">
        <v>576</v>
      </c>
      <c r="D67" s="9" t="s">
        <v>446</v>
      </c>
      <c r="E67" s="10" t="s">
        <v>577</v>
      </c>
      <c r="F67" s="62"/>
    </row>
    <row r="68" spans="1:6" x14ac:dyDescent="0.3">
      <c r="C68" s="9" t="s">
        <v>578</v>
      </c>
      <c r="D68" s="9" t="s">
        <v>579</v>
      </c>
      <c r="E68" s="10" t="s">
        <v>580</v>
      </c>
      <c r="F68" s="62"/>
    </row>
    <row r="69" spans="1:6" x14ac:dyDescent="0.3">
      <c r="C69" s="9" t="s">
        <v>581</v>
      </c>
      <c r="D69" s="9" t="s">
        <v>582</v>
      </c>
      <c r="E69" s="10" t="s">
        <v>448</v>
      </c>
      <c r="F69" s="62"/>
    </row>
    <row r="70" spans="1:6" x14ac:dyDescent="0.3">
      <c r="C70" s="9" t="s">
        <v>583</v>
      </c>
      <c r="D70" s="9" t="s">
        <v>447</v>
      </c>
      <c r="E70" s="10" t="s">
        <v>448</v>
      </c>
      <c r="F70" s="62"/>
    </row>
    <row r="71" spans="1:6" x14ac:dyDescent="0.3">
      <c r="C71" s="9" t="s">
        <v>584</v>
      </c>
      <c r="D71" s="9" t="s">
        <v>303</v>
      </c>
      <c r="E71" s="10" t="s">
        <v>517</v>
      </c>
      <c r="F71" s="62"/>
    </row>
    <row r="72" spans="1:6" x14ac:dyDescent="0.3">
      <c r="C72" s="9" t="s">
        <v>585</v>
      </c>
      <c r="D72" s="9" t="s">
        <v>586</v>
      </c>
      <c r="E72" s="10" t="s">
        <v>587</v>
      </c>
      <c r="F72" s="62"/>
    </row>
    <row r="73" spans="1:6" x14ac:dyDescent="0.3">
      <c r="C73" s="9" t="s">
        <v>588</v>
      </c>
      <c r="D73" s="9" t="s">
        <v>449</v>
      </c>
      <c r="E73" s="10" t="s">
        <v>517</v>
      </c>
      <c r="F73" s="62"/>
    </row>
    <row r="74" spans="1:6" x14ac:dyDescent="0.3">
      <c r="C74" s="9" t="s">
        <v>450</v>
      </c>
      <c r="D74" s="9" t="s">
        <v>451</v>
      </c>
      <c r="E74" s="10" t="s">
        <v>448</v>
      </c>
      <c r="F74" s="62"/>
    </row>
    <row r="75" spans="1:6" x14ac:dyDescent="0.3">
      <c r="C75" s="9" t="s">
        <v>589</v>
      </c>
      <c r="D75" s="9" t="s">
        <v>590</v>
      </c>
      <c r="E75" s="10" t="s">
        <v>591</v>
      </c>
      <c r="F75" s="62"/>
    </row>
    <row r="76" spans="1:6" x14ac:dyDescent="0.3">
      <c r="A76" s="3" t="s">
        <v>452</v>
      </c>
      <c r="B76" s="10" t="s">
        <v>453</v>
      </c>
      <c r="C76" s="9" t="s">
        <v>592</v>
      </c>
      <c r="D76" s="9" t="s">
        <v>593</v>
      </c>
      <c r="E76" s="10" t="s">
        <v>448</v>
      </c>
      <c r="F76" s="62"/>
    </row>
    <row r="77" spans="1:6" x14ac:dyDescent="0.3">
      <c r="C77" s="9" t="s">
        <v>455</v>
      </c>
      <c r="D77" s="9" t="s">
        <v>594</v>
      </c>
      <c r="E77" s="10" t="s">
        <v>494</v>
      </c>
      <c r="F77" s="62"/>
    </row>
    <row r="78" spans="1:6" x14ac:dyDescent="0.3">
      <c r="C78" s="9" t="s">
        <v>595</v>
      </c>
      <c r="D78" s="9" t="s">
        <v>596</v>
      </c>
      <c r="E78" s="10" t="s">
        <v>285</v>
      </c>
      <c r="F78" s="62"/>
    </row>
    <row r="79" spans="1:6" x14ac:dyDescent="0.3">
      <c r="A79" s="3" t="s">
        <v>597</v>
      </c>
      <c r="B79" s="10" t="s">
        <v>598</v>
      </c>
      <c r="C79" s="9" t="s">
        <v>599</v>
      </c>
      <c r="D79" s="9" t="s">
        <v>600</v>
      </c>
      <c r="E79" s="10" t="s">
        <v>448</v>
      </c>
      <c r="F79" s="62"/>
    </row>
    <row r="80" spans="1:6" x14ac:dyDescent="0.3">
      <c r="A80" s="3" t="s">
        <v>456</v>
      </c>
      <c r="B80" s="10" t="s">
        <v>601</v>
      </c>
      <c r="C80" s="9" t="s">
        <v>602</v>
      </c>
      <c r="D80" s="9" t="s">
        <v>603</v>
      </c>
      <c r="E80" s="10" t="s">
        <v>754</v>
      </c>
      <c r="F80" s="62"/>
    </row>
    <row r="81" spans="1:6" x14ac:dyDescent="0.3">
      <c r="C81" s="9" t="s">
        <v>604</v>
      </c>
      <c r="D81" s="9" t="s">
        <v>605</v>
      </c>
      <c r="E81" s="10" t="s">
        <v>906</v>
      </c>
      <c r="F81" s="62"/>
    </row>
    <row r="82" spans="1:6" x14ac:dyDescent="0.3">
      <c r="A82" s="3" t="s">
        <v>457</v>
      </c>
      <c r="B82" s="10" t="s">
        <v>606</v>
      </c>
      <c r="C82" s="9" t="s">
        <v>607</v>
      </c>
      <c r="D82" s="9" t="s">
        <v>608</v>
      </c>
      <c r="E82" s="10" t="s">
        <v>609</v>
      </c>
      <c r="F82" s="62"/>
    </row>
    <row r="83" spans="1:6" x14ac:dyDescent="0.3">
      <c r="C83" s="9" t="s">
        <v>458</v>
      </c>
      <c r="D83" s="9" t="s">
        <v>284</v>
      </c>
      <c r="E83" s="10" t="s">
        <v>587</v>
      </c>
      <c r="F83" s="62"/>
    </row>
    <row r="84" spans="1:6" x14ac:dyDescent="0.3">
      <c r="C84" s="9" t="s">
        <v>610</v>
      </c>
      <c r="D84" s="9" t="s">
        <v>122</v>
      </c>
      <c r="E84" s="10" t="s">
        <v>611</v>
      </c>
      <c r="F84" s="62"/>
    </row>
    <row r="85" spans="1:6" x14ac:dyDescent="0.3">
      <c r="A85" s="3" t="s">
        <v>612</v>
      </c>
      <c r="B85" s="10" t="s">
        <v>613</v>
      </c>
      <c r="C85" s="9" t="s">
        <v>614</v>
      </c>
      <c r="D85" s="9" t="s">
        <v>615</v>
      </c>
      <c r="E85" s="10" t="s">
        <v>448</v>
      </c>
      <c r="F85" s="62"/>
    </row>
    <row r="86" spans="1:6" x14ac:dyDescent="0.3">
      <c r="C86" s="9" t="s">
        <v>459</v>
      </c>
      <c r="D86" s="9" t="s">
        <v>616</v>
      </c>
      <c r="E86" s="10" t="s">
        <v>108</v>
      </c>
      <c r="F86" s="62"/>
    </row>
    <row r="87" spans="1:6" x14ac:dyDescent="0.3">
      <c r="C87" s="9" t="s">
        <v>617</v>
      </c>
      <c r="D87" s="9" t="s">
        <v>618</v>
      </c>
      <c r="E87" s="9" t="str">
        <f>"0x"&amp;DEC2HEX((ROUNDUP((500000/(2000/B2)/2/1024), 0)))</f>
        <v>0x125</v>
      </c>
      <c r="F87" s="62"/>
    </row>
    <row r="88" spans="1:6" x14ac:dyDescent="0.3">
      <c r="A88" s="3" t="s">
        <v>619</v>
      </c>
      <c r="B88" s="10" t="s">
        <v>620</v>
      </c>
      <c r="C88" s="9" t="s">
        <v>460</v>
      </c>
      <c r="D88" s="9" t="s">
        <v>461</v>
      </c>
      <c r="E88" s="9" t="str">
        <f>"0x"&amp;DEC2HEX((ROUNDUP((B23/(2000/B2)/2/1024), 0)))</f>
        <v>0x76</v>
      </c>
      <c r="F88" s="62"/>
    </row>
    <row r="89" spans="1:6" x14ac:dyDescent="0.3">
      <c r="C89" s="9" t="s">
        <v>621</v>
      </c>
      <c r="D89" s="9" t="s">
        <v>622</v>
      </c>
      <c r="E89" s="10" t="s">
        <v>623</v>
      </c>
      <c r="F89" s="62"/>
    </row>
    <row r="90" spans="1:6" s="6" customFormat="1" x14ac:dyDescent="0.3">
      <c r="A90" s="3" t="s">
        <v>624</v>
      </c>
      <c r="B90" s="82" t="s">
        <v>625</v>
      </c>
      <c r="C90" s="11" t="s">
        <v>626</v>
      </c>
      <c r="D90" s="3" t="s">
        <v>627</v>
      </c>
      <c r="E90" s="12" t="str">
        <f>B3</f>
        <v>0x964</v>
      </c>
      <c r="F90" s="62" t="s">
        <v>982</v>
      </c>
    </row>
    <row r="91" spans="1:6" x14ac:dyDescent="0.3">
      <c r="C91" s="9" t="s">
        <v>628</v>
      </c>
      <c r="D91" s="9" t="s">
        <v>629</v>
      </c>
      <c r="E91" s="12" t="str">
        <f>"0x"&amp;DEC2HEX(B4)</f>
        <v>0x101</v>
      </c>
      <c r="F91" s="62" t="s">
        <v>983</v>
      </c>
    </row>
    <row r="92" spans="1:6" x14ac:dyDescent="0.3">
      <c r="A92" s="3" t="s">
        <v>630</v>
      </c>
      <c r="B92" s="10" t="s">
        <v>462</v>
      </c>
      <c r="C92" s="9" t="s">
        <v>631</v>
      </c>
      <c r="D92" s="9" t="s">
        <v>632</v>
      </c>
      <c r="E92" s="12" t="str">
        <f>B5</f>
        <v>0x18</v>
      </c>
      <c r="F92" s="62" t="s">
        <v>984</v>
      </c>
    </row>
    <row r="93" spans="1:6" x14ac:dyDescent="0.3">
      <c r="C93" s="9" t="s">
        <v>633</v>
      </c>
      <c r="D93" s="9" t="s">
        <v>600</v>
      </c>
      <c r="E93" s="12" t="str">
        <f>B6</f>
        <v>0x200</v>
      </c>
      <c r="F93" s="62" t="s">
        <v>985</v>
      </c>
    </row>
    <row r="94" spans="1:6" x14ac:dyDescent="0.3">
      <c r="A94" s="3" t="s">
        <v>463</v>
      </c>
      <c r="B94" s="10" t="s">
        <v>634</v>
      </c>
      <c r="C94" s="9" t="s">
        <v>635</v>
      </c>
      <c r="D94" s="9" t="s">
        <v>603</v>
      </c>
      <c r="E94" s="10" t="s">
        <v>905</v>
      </c>
      <c r="F94" s="62"/>
    </row>
    <row r="95" spans="1:6" x14ac:dyDescent="0.3">
      <c r="A95" s="3" t="s">
        <v>636</v>
      </c>
      <c r="B95" s="10" t="s">
        <v>464</v>
      </c>
      <c r="C95" s="9" t="s">
        <v>515</v>
      </c>
      <c r="D95" s="9" t="s">
        <v>632</v>
      </c>
      <c r="E95" s="10" t="str">
        <f>B7</f>
        <v>0x0</v>
      </c>
      <c r="F95" s="62" t="s">
        <v>986</v>
      </c>
    </row>
    <row r="96" spans="1:6" x14ac:dyDescent="0.3">
      <c r="C96" s="9" t="s">
        <v>518</v>
      </c>
      <c r="D96" s="9" t="s">
        <v>600</v>
      </c>
      <c r="E96" s="10" t="str">
        <f t="shared" ref="E96:E97" si="0">B8</f>
        <v>0x400</v>
      </c>
      <c r="F96" s="62" t="s">
        <v>987</v>
      </c>
    </row>
    <row r="97" spans="1:6" x14ac:dyDescent="0.3">
      <c r="A97" s="3" t="s">
        <v>637</v>
      </c>
      <c r="B97" s="10" t="s">
        <v>638</v>
      </c>
      <c r="C97" s="9" t="s">
        <v>520</v>
      </c>
      <c r="D97" s="9" t="s">
        <v>639</v>
      </c>
      <c r="E97" s="10" t="str">
        <f t="shared" si="0"/>
        <v>0x800</v>
      </c>
      <c r="F97" s="62" t="s">
        <v>988</v>
      </c>
    </row>
    <row r="98" spans="1:6" x14ac:dyDescent="0.3">
      <c r="A98" s="3" t="s">
        <v>640</v>
      </c>
      <c r="B98" s="10" t="s">
        <v>641</v>
      </c>
      <c r="C98" s="9" t="s">
        <v>642</v>
      </c>
      <c r="D98" s="9" t="s">
        <v>643</v>
      </c>
      <c r="E98" s="10" t="s">
        <v>517</v>
      </c>
      <c r="F98" s="62"/>
    </row>
    <row r="99" spans="1:6" x14ac:dyDescent="0.3">
      <c r="C99" s="9" t="s">
        <v>644</v>
      </c>
      <c r="D99" s="9" t="s">
        <v>645</v>
      </c>
      <c r="E99" s="10" t="s">
        <v>517</v>
      </c>
      <c r="F99" s="62"/>
    </row>
    <row r="100" spans="1:6" x14ac:dyDescent="0.3">
      <c r="A100" s="3" t="s">
        <v>646</v>
      </c>
      <c r="B100" s="10" t="s">
        <v>647</v>
      </c>
      <c r="C100" s="9" t="s">
        <v>648</v>
      </c>
      <c r="D100" s="9" t="s">
        <v>649</v>
      </c>
      <c r="E100" s="9" t="str">
        <f>"0x"&amp;DEC2HEX((ROUNDUP((B10+B11+B14+B15/2+B37/(2000/B2))/2, 0)))</f>
        <v>0x11</v>
      </c>
      <c r="F100" s="62"/>
    </row>
    <row r="101" spans="1:6" x14ac:dyDescent="0.3">
      <c r="C101" s="9" t="s">
        <v>650</v>
      </c>
      <c r="D101" s="9" t="s">
        <v>651</v>
      </c>
      <c r="E101" s="9" t="str">
        <f>"0x"&amp;DEC2HEX(ROUNDUP(B33/(2000/B2)/2,0))</f>
        <v>0x12</v>
      </c>
      <c r="F101" s="62"/>
    </row>
    <row r="102" spans="1:6" x14ac:dyDescent="0.3">
      <c r="C102" s="15" t="s">
        <v>652</v>
      </c>
      <c r="D102" s="15" t="s">
        <v>653</v>
      </c>
      <c r="E102" s="15" t="str">
        <f>"0x"&amp;DEC2HEX(ROUNDDOWN((ROUNDDOWN(B27/(2000/B2)/1024,0)-1)/2,0))</f>
        <v>0x28</v>
      </c>
      <c r="F102" s="62"/>
    </row>
    <row r="103" spans="1:6" x14ac:dyDescent="0.3">
      <c r="C103" s="9" t="s">
        <v>654</v>
      </c>
      <c r="D103" s="9" t="s">
        <v>655</v>
      </c>
      <c r="E103" s="10" t="str">
        <f xml:space="preserve"> "0x"&amp;DEC2HEX(ROUNDUP(B26/(2000/B2)/2,0))</f>
        <v>0x14</v>
      </c>
      <c r="F103" s="62"/>
    </row>
    <row r="104" spans="1:6" x14ac:dyDescent="0.3">
      <c r="A104" s="3" t="s">
        <v>656</v>
      </c>
      <c r="B104" s="10" t="s">
        <v>657</v>
      </c>
      <c r="C104" s="9" t="s">
        <v>658</v>
      </c>
      <c r="D104" s="9" t="s">
        <v>25</v>
      </c>
      <c r="E104" s="10" t="str">
        <f>"0x"&amp;DEC2HEX(ROUNDUP(B50/(2000/B2)/2,0))</f>
        <v>0x4</v>
      </c>
      <c r="F104" s="62"/>
    </row>
    <row r="105" spans="1:6" x14ac:dyDescent="0.3">
      <c r="C105" s="9" t="s">
        <v>659</v>
      </c>
      <c r="D105" s="9" t="s">
        <v>660</v>
      </c>
      <c r="E105" s="10" t="str">
        <f>"0x"&amp;DEC2HEX(ROUNDUP(MAX((B10+MAX(B36,4)/(2000/B2)), ((B10+B11+B12)+B15/2-B25/(2000/B2)))/2,0))</f>
        <v>0x5</v>
      </c>
      <c r="F105" s="62"/>
    </row>
    <row r="106" spans="1:6" x14ac:dyDescent="0.3">
      <c r="C106" s="9" t="s">
        <v>661</v>
      </c>
      <c r="D106" s="9" t="s">
        <v>662</v>
      </c>
      <c r="E106" s="10" t="str">
        <f>"0x"&amp;DEC2HEX(ROUNDUP(B28/(2000/B2)/2,0))</f>
        <v>0x1C</v>
      </c>
      <c r="F106" s="62"/>
    </row>
    <row r="107" spans="1:6" x14ac:dyDescent="0.3">
      <c r="A107" s="3" t="s">
        <v>663</v>
      </c>
      <c r="B107" s="10" t="s">
        <v>664</v>
      </c>
      <c r="C107" s="9" t="s">
        <v>665</v>
      </c>
      <c r="D107" s="9" t="s">
        <v>666</v>
      </c>
      <c r="E107" s="10" t="str">
        <f>"0x"&amp;DEC2HEX(ROUNDUP((B10+B11+B14)/2,0))</f>
        <v>0x6</v>
      </c>
      <c r="F107" s="69"/>
    </row>
    <row r="108" spans="1:6" x14ac:dyDescent="0.3">
      <c r="C108" s="9" t="s">
        <v>667</v>
      </c>
      <c r="D108" s="9" t="s">
        <v>651</v>
      </c>
      <c r="E108" s="10" t="str">
        <f>"0x"&amp;DEC2HEX(ROUNDUP((B10+B11+B12)/2,0))</f>
        <v>0x9</v>
      </c>
      <c r="F108" s="69"/>
    </row>
    <row r="109" spans="1:6" x14ac:dyDescent="0.3">
      <c r="C109" s="9" t="s">
        <v>668</v>
      </c>
      <c r="D109" s="9" t="s">
        <v>660</v>
      </c>
      <c r="E109" s="9" t="str">
        <f>"0x"&amp;DEC2HEX(ROUNDUP((B10+B11+B12+B15/2+1+B22-B10-B11-B14)/2,0))</f>
        <v>0x6</v>
      </c>
      <c r="F109" s="62"/>
    </row>
    <row r="110" spans="1:6" x14ac:dyDescent="0.3">
      <c r="C110" s="9" t="s">
        <v>669</v>
      </c>
      <c r="D110" s="9" t="s">
        <v>655</v>
      </c>
      <c r="E110" s="9" t="str">
        <f>"0x"&amp;DEC2HEX(ROUNDUP((B14+B15/2+B35/(2000/B2))/2,0))</f>
        <v>0xD</v>
      </c>
      <c r="F110" s="62"/>
    </row>
    <row r="111" spans="1:6" x14ac:dyDescent="0.3">
      <c r="A111" s="3" t="s">
        <v>670</v>
      </c>
      <c r="B111" s="10" t="s">
        <v>671</v>
      </c>
      <c r="C111" s="9" t="s">
        <v>672</v>
      </c>
      <c r="D111" s="9" t="s">
        <v>673</v>
      </c>
      <c r="E111" s="10" t="str">
        <f>"0x"&amp;DEC2HEX(ROUNDUP(B39/(2000/B2)/2,0))</f>
        <v>0x4</v>
      </c>
      <c r="F111" s="62"/>
    </row>
    <row r="112" spans="1:6" x14ac:dyDescent="0.3">
      <c r="C112" s="9" t="s">
        <v>674</v>
      </c>
      <c r="D112" s="9" t="s">
        <v>675</v>
      </c>
      <c r="E112" s="10" t="str">
        <f>"0x"&amp;DEC2HEX(ROUNDUP(B40/(2000/B2)/2,0))</f>
        <v>0xC</v>
      </c>
      <c r="F112" s="62"/>
    </row>
    <row r="113" spans="1:6" x14ac:dyDescent="0.3">
      <c r="A113" s="3" t="s">
        <v>676</v>
      </c>
      <c r="B113" s="10" t="s">
        <v>677</v>
      </c>
      <c r="C113" s="9" t="s">
        <v>678</v>
      </c>
      <c r="D113" s="9" t="s">
        <v>679</v>
      </c>
      <c r="E113" s="10" t="str">
        <f>"0x"&amp;DEC2HEX(ROUNDUP((B24/(2000/B2)-B10)/2, 0))</f>
        <v>0x9</v>
      </c>
      <c r="F113" s="62"/>
    </row>
    <row r="114" spans="1:6" x14ac:dyDescent="0.3">
      <c r="C114" s="9" t="s">
        <v>680</v>
      </c>
      <c r="D114" s="9" t="s">
        <v>579</v>
      </c>
      <c r="E114" s="10" t="str">
        <f>"0x"&amp;DEC2HEX(ROUNDUP(B29/(2000/B2)/2,0))</f>
        <v>0x3</v>
      </c>
      <c r="F114" s="62"/>
    </row>
    <row r="115" spans="1:6" x14ac:dyDescent="0.3">
      <c r="C115" s="9" t="s">
        <v>681</v>
      </c>
      <c r="D115" s="9" t="s">
        <v>682</v>
      </c>
      <c r="E115" s="10" t="str">
        <f>"0x"&amp;DEC2HEX(ROUNDUP(B32/(2000/B2)/2,0))</f>
        <v>0x4</v>
      </c>
      <c r="F115" s="62"/>
    </row>
    <row r="116" spans="1:6" x14ac:dyDescent="0.3">
      <c r="C116" s="15" t="s">
        <v>683</v>
      </c>
      <c r="D116" s="15" t="s">
        <v>684</v>
      </c>
      <c r="E116" s="15" t="str">
        <f>"0x"&amp;DEC2HEX(ROUNDDOWN((ROUNDUP(B25/(2000/B2),0)/2),0)+1)</f>
        <v>0x9</v>
      </c>
      <c r="F116" s="62"/>
    </row>
    <row r="117" spans="1:6" x14ac:dyDescent="0.3">
      <c r="A117" s="3" t="s">
        <v>685</v>
      </c>
      <c r="B117" s="10" t="s">
        <v>686</v>
      </c>
      <c r="C117" s="9" t="s">
        <v>149</v>
      </c>
      <c r="D117" s="9" t="s">
        <v>687</v>
      </c>
      <c r="E117" s="10" t="str">
        <f>"0x"&amp;DEC2HEX(ROUNDUP(B49/(2000/B2)/2,0))</f>
        <v>0x6</v>
      </c>
      <c r="F117" s="62"/>
    </row>
    <row r="118" spans="1:6" x14ac:dyDescent="0.3">
      <c r="C118" s="9" t="s">
        <v>688</v>
      </c>
      <c r="D118" s="9" t="s">
        <v>579</v>
      </c>
      <c r="E118" s="10" t="str">
        <f>"0x"&amp;DEC2HEX(ROUNDUP(B48/(2000/B2)/2,0))</f>
        <v>0x6</v>
      </c>
      <c r="F118" s="62"/>
    </row>
    <row r="119" spans="1:6" x14ac:dyDescent="0.3">
      <c r="C119" s="9" t="s">
        <v>689</v>
      </c>
      <c r="D119" s="9" t="s">
        <v>660</v>
      </c>
      <c r="E119" s="10" t="str">
        <f>"0x"&amp;DEC2HEX(ROUNDUP((B51/(2000/B2)+1+B11)/2,0))</f>
        <v>0x4</v>
      </c>
      <c r="F119" s="62"/>
    </row>
    <row r="120" spans="1:6" x14ac:dyDescent="0.3">
      <c r="C120" s="9" t="s">
        <v>690</v>
      </c>
      <c r="D120" s="9" t="s">
        <v>605</v>
      </c>
      <c r="E120" s="10" t="str">
        <f>"0x"&amp;DEC2HEX(ROUNDUP(B51/(2000/B2)/2,0))</f>
        <v>0x3</v>
      </c>
      <c r="F120" s="62"/>
    </row>
    <row r="121" spans="1:6" x14ac:dyDescent="0.3">
      <c r="A121" s="3" t="s">
        <v>691</v>
      </c>
      <c r="B121" s="10" t="s">
        <v>692</v>
      </c>
      <c r="C121" s="9" t="s">
        <v>693</v>
      </c>
      <c r="D121" s="9" t="s">
        <v>653</v>
      </c>
      <c r="E121" s="10" t="str">
        <f>"0x"&amp;DEC2HEX(ROUNDUP(B46/(2000/B2)/64,0))</f>
        <v>0xC</v>
      </c>
      <c r="F121" s="62"/>
    </row>
    <row r="122" spans="1:6" x14ac:dyDescent="0.3">
      <c r="C122" s="9" t="s">
        <v>694</v>
      </c>
      <c r="D122" s="9" t="s">
        <v>662</v>
      </c>
      <c r="E122" s="10" t="str">
        <f>"0x"&amp;DEC2HEX(ROUNDUP(B44/(2000/B2)/64,0))</f>
        <v>0x6</v>
      </c>
      <c r="F122" s="62"/>
    </row>
    <row r="123" spans="1:6" x14ac:dyDescent="0.3">
      <c r="A123" s="3" t="s">
        <v>695</v>
      </c>
      <c r="B123" s="10" t="s">
        <v>696</v>
      </c>
      <c r="C123" s="9" t="s">
        <v>697</v>
      </c>
      <c r="D123" s="9" t="s">
        <v>699</v>
      </c>
      <c r="E123" s="10" t="str">
        <f>"0x"&amp;DEC2HEX(B22-1)</f>
        <v>0x0</v>
      </c>
      <c r="F123" s="62"/>
    </row>
    <row r="124" spans="1:6" x14ac:dyDescent="0.3">
      <c r="C124" s="9" t="s">
        <v>700</v>
      </c>
      <c r="D124" s="9" t="s">
        <v>651</v>
      </c>
      <c r="E124" s="10" t="str">
        <f>"0x"&amp;DEC2HEX(ROUNDUP(B30/(2000/B2)/2,0))</f>
        <v>0x2</v>
      </c>
      <c r="F124" s="27"/>
    </row>
    <row r="125" spans="1:6" x14ac:dyDescent="0.3">
      <c r="C125" s="9" t="s">
        <v>701</v>
      </c>
      <c r="D125" s="9" t="s">
        <v>682</v>
      </c>
      <c r="E125" s="10" t="str">
        <f>"0x"&amp;DEC2HEX(ROUNDUP(B31/(2000/B2)/2,0))</f>
        <v>0x4</v>
      </c>
      <c r="F125" s="27"/>
    </row>
    <row r="126" spans="1:6" x14ac:dyDescent="0.3">
      <c r="C126" s="9" t="s">
        <v>702</v>
      </c>
      <c r="D126" s="9" t="s">
        <v>655</v>
      </c>
      <c r="E126" s="10" t="str">
        <f>"0x"&amp;DEC2HEX(ROUNDUP((B14+B11+B15/2+B34/(2000/B2))/2, 0))</f>
        <v>0xA</v>
      </c>
      <c r="F126" s="27"/>
    </row>
    <row r="127" spans="1:6" x14ac:dyDescent="0.3">
      <c r="A127" s="3" t="s">
        <v>703</v>
      </c>
      <c r="B127" s="10" t="s">
        <v>704</v>
      </c>
      <c r="C127" s="9" t="s">
        <v>705</v>
      </c>
      <c r="D127" s="9" t="s">
        <v>593</v>
      </c>
      <c r="E127" s="10" t="s">
        <v>517</v>
      </c>
      <c r="F127" s="62"/>
    </row>
    <row r="128" spans="1:6" x14ac:dyDescent="0.3">
      <c r="C128" s="9" t="s">
        <v>706</v>
      </c>
      <c r="D128" s="9" t="s">
        <v>707</v>
      </c>
      <c r="E128" s="10" t="str">
        <f>"0x"&amp;DEC2HEX(ROUNDUP(B52/(2000/B2)/2/32, 0))</f>
        <v>0x1</v>
      </c>
      <c r="F128" s="62"/>
    </row>
    <row r="129" spans="1:6" x14ac:dyDescent="0.3">
      <c r="A129" s="3" t="s">
        <v>708</v>
      </c>
      <c r="B129" s="10" t="s">
        <v>709</v>
      </c>
      <c r="C129" s="9" t="s">
        <v>710</v>
      </c>
      <c r="D129" s="9" t="s">
        <v>711</v>
      </c>
      <c r="E129" s="10" t="str">
        <f>"0x"&amp;DEC2HEX(112)</f>
        <v>0x70</v>
      </c>
      <c r="F129" s="62"/>
    </row>
    <row r="130" spans="1:6" x14ac:dyDescent="0.3">
      <c r="A130" s="3" t="s">
        <v>712</v>
      </c>
      <c r="B130" s="10" t="s">
        <v>713</v>
      </c>
      <c r="C130" s="9" t="s">
        <v>714</v>
      </c>
      <c r="D130" s="9" t="s">
        <v>679</v>
      </c>
      <c r="E130" s="10" t="str">
        <f>"0x"&amp;DEC2HEX(B58)</f>
        <v>0x6</v>
      </c>
      <c r="F130" s="62"/>
    </row>
    <row r="131" spans="1:6" x14ac:dyDescent="0.3">
      <c r="C131" s="9" t="s">
        <v>715</v>
      </c>
      <c r="D131" s="9" t="s">
        <v>716</v>
      </c>
      <c r="E131" s="10" t="s">
        <v>517</v>
      </c>
      <c r="F131" s="62"/>
    </row>
    <row r="132" spans="1:6" x14ac:dyDescent="0.3">
      <c r="C132" s="9" t="s">
        <v>717</v>
      </c>
      <c r="D132" s="9" t="s">
        <v>718</v>
      </c>
      <c r="E132" s="10" t="str">
        <f>"0x"&amp;DEC2HEX(B57)</f>
        <v>0x7</v>
      </c>
      <c r="F132" s="62"/>
    </row>
    <row r="133" spans="1:6" x14ac:dyDescent="0.3">
      <c r="C133" s="9" t="s">
        <v>719</v>
      </c>
      <c r="D133" s="9" t="s">
        <v>720</v>
      </c>
      <c r="E133" s="10" t="s">
        <v>517</v>
      </c>
      <c r="F133" s="62"/>
    </row>
    <row r="134" spans="1:6" x14ac:dyDescent="0.3">
      <c r="C134" s="9" t="s">
        <v>721</v>
      </c>
      <c r="D134" s="9" t="s">
        <v>660</v>
      </c>
      <c r="E134" s="10" t="str">
        <f>"0x"&amp;DEC2HEX(B59)</f>
        <v>0x0</v>
      </c>
      <c r="F134" s="62"/>
    </row>
    <row r="135" spans="1:6" x14ac:dyDescent="0.3">
      <c r="C135" s="9" t="s">
        <v>722</v>
      </c>
      <c r="D135" s="9" t="s">
        <v>655</v>
      </c>
      <c r="E135" s="10" t="str">
        <f>"0x"&amp;DEC2HEX(B56)</f>
        <v>0x4</v>
      </c>
      <c r="F135" s="62"/>
    </row>
    <row r="136" spans="1:6" x14ac:dyDescent="0.3">
      <c r="A136" s="3" t="s">
        <v>723</v>
      </c>
      <c r="B136" s="10" t="s">
        <v>724</v>
      </c>
      <c r="C136" s="9" t="s">
        <v>725</v>
      </c>
      <c r="D136" s="9" t="s">
        <v>726</v>
      </c>
      <c r="E136" s="10" t="s">
        <v>448</v>
      </c>
      <c r="F136" s="62"/>
    </row>
    <row r="137" spans="1:6" x14ac:dyDescent="0.3">
      <c r="C137" s="9" t="s">
        <v>727</v>
      </c>
      <c r="D137" s="9" t="s">
        <v>728</v>
      </c>
      <c r="E137" s="10" t="s">
        <v>517</v>
      </c>
      <c r="F137" s="62"/>
    </row>
    <row r="138" spans="1:6" x14ac:dyDescent="0.3">
      <c r="C138" s="9" t="s">
        <v>729</v>
      </c>
      <c r="D138" s="9" t="s">
        <v>730</v>
      </c>
      <c r="E138" s="10" t="str">
        <f>"0x"&amp;DEC2HEX(B61)</f>
        <v>0x8</v>
      </c>
      <c r="F138" s="62"/>
    </row>
    <row r="139" spans="1:6" x14ac:dyDescent="0.3">
      <c r="C139" s="9" t="s">
        <v>731</v>
      </c>
      <c r="D139" s="9" t="s">
        <v>732</v>
      </c>
      <c r="E139" s="10" t="str">
        <f>"0x"&amp;DEC2HEX(B62)</f>
        <v>0x3</v>
      </c>
      <c r="F139" s="62"/>
    </row>
    <row r="140" spans="1:6" x14ac:dyDescent="0.3">
      <c r="C140" s="9" t="s">
        <v>733</v>
      </c>
      <c r="D140" s="9" t="s">
        <v>605</v>
      </c>
      <c r="E140" s="10" t="str">
        <f>"0x"&amp;DEC2HEX(B63)</f>
        <v>0x7</v>
      </c>
      <c r="F140" s="62"/>
    </row>
    <row r="141" spans="1:6" x14ac:dyDescent="0.3">
      <c r="A141" s="3" t="s">
        <v>734</v>
      </c>
      <c r="B141" s="10" t="s">
        <v>735</v>
      </c>
      <c r="C141" s="9" t="s">
        <v>736</v>
      </c>
      <c r="D141" s="9" t="s">
        <v>679</v>
      </c>
      <c r="E141" s="10" t="s">
        <v>737</v>
      </c>
      <c r="F141" s="62"/>
    </row>
    <row r="142" spans="1:6" x14ac:dyDescent="0.3">
      <c r="C142" s="9" t="s">
        <v>738</v>
      </c>
      <c r="D142" s="9" t="s">
        <v>739</v>
      </c>
      <c r="E142" s="10" t="s">
        <v>23</v>
      </c>
      <c r="F142" s="62"/>
    </row>
    <row r="143" spans="1:6" x14ac:dyDescent="0.3">
      <c r="C143" s="9" t="s">
        <v>740</v>
      </c>
      <c r="D143" s="9" t="s">
        <v>741</v>
      </c>
      <c r="E143" s="10" t="s">
        <v>517</v>
      </c>
      <c r="F143" s="62"/>
    </row>
    <row r="144" spans="1:6" x14ac:dyDescent="0.3">
      <c r="C144" s="9" t="s">
        <v>742</v>
      </c>
      <c r="D144" s="9" t="s">
        <v>743</v>
      </c>
      <c r="E144" s="10" t="s">
        <v>744</v>
      </c>
      <c r="F144" s="62"/>
    </row>
    <row r="145" spans="1:6" x14ac:dyDescent="0.3">
      <c r="C145" s="9" t="s">
        <v>745</v>
      </c>
      <c r="D145" s="9" t="s">
        <v>645</v>
      </c>
      <c r="E145" s="10" t="s">
        <v>517</v>
      </c>
      <c r="F145" s="62"/>
    </row>
    <row r="146" spans="1:6" x14ac:dyDescent="0.3">
      <c r="A146" s="3" t="s">
        <v>746</v>
      </c>
      <c r="B146" s="10" t="s">
        <v>747</v>
      </c>
      <c r="C146" s="9" t="s">
        <v>748</v>
      </c>
      <c r="D146" s="9" t="s">
        <v>454</v>
      </c>
      <c r="E146" s="10" t="s">
        <v>587</v>
      </c>
      <c r="F146" s="62"/>
    </row>
    <row r="147" spans="1:6" x14ac:dyDescent="0.3">
      <c r="C147" s="9" t="s">
        <v>749</v>
      </c>
      <c r="D147" s="9" t="s">
        <v>698</v>
      </c>
      <c r="E147" s="10" t="s">
        <v>587</v>
      </c>
      <c r="F147" s="62"/>
    </row>
    <row r="148" spans="1:6" x14ac:dyDescent="0.3">
      <c r="C148" s="9" t="s">
        <v>750</v>
      </c>
      <c r="D148" s="9" t="s">
        <v>751</v>
      </c>
      <c r="E148" s="10" t="s">
        <v>587</v>
      </c>
      <c r="F148" s="62"/>
    </row>
    <row r="149" spans="1:6" x14ac:dyDescent="0.3">
      <c r="C149" s="9" t="s">
        <v>752</v>
      </c>
      <c r="D149" s="9" t="s">
        <v>753</v>
      </c>
      <c r="E149" s="10" t="s">
        <v>754</v>
      </c>
      <c r="F149" s="62"/>
    </row>
    <row r="150" spans="1:6" x14ac:dyDescent="0.3">
      <c r="C150" s="9" t="s">
        <v>755</v>
      </c>
      <c r="D150" s="9" t="s">
        <v>675</v>
      </c>
      <c r="E150" s="10" t="s">
        <v>23</v>
      </c>
      <c r="F150" s="62"/>
    </row>
    <row r="151" spans="1:6" x14ac:dyDescent="0.3">
      <c r="A151" s="3" t="s">
        <v>756</v>
      </c>
      <c r="B151" s="10" t="s">
        <v>757</v>
      </c>
      <c r="C151" s="9" t="s">
        <v>758</v>
      </c>
      <c r="D151" s="9" t="s">
        <v>759</v>
      </c>
      <c r="E151" s="10" t="s">
        <v>760</v>
      </c>
      <c r="F151" s="62"/>
    </row>
    <row r="152" spans="1:6" x14ac:dyDescent="0.3">
      <c r="C152" s="9" t="s">
        <v>761</v>
      </c>
      <c r="D152" s="9" t="s">
        <v>707</v>
      </c>
      <c r="E152" s="10" t="s">
        <v>762</v>
      </c>
      <c r="F152" s="62"/>
    </row>
    <row r="153" spans="1:6" x14ac:dyDescent="0.3">
      <c r="A153" s="3" t="s">
        <v>763</v>
      </c>
      <c r="B153" s="10" t="s">
        <v>764</v>
      </c>
      <c r="C153" s="9" t="s">
        <v>765</v>
      </c>
      <c r="D153" s="9" t="s">
        <v>593</v>
      </c>
      <c r="E153" s="10" t="s">
        <v>517</v>
      </c>
      <c r="F153" s="62"/>
    </row>
    <row r="154" spans="1:6" x14ac:dyDescent="0.3">
      <c r="A154" s="3" t="s">
        <v>597</v>
      </c>
      <c r="B154" s="10" t="s">
        <v>598</v>
      </c>
      <c r="C154" s="9" t="s">
        <v>766</v>
      </c>
      <c r="D154" s="9" t="s">
        <v>639</v>
      </c>
      <c r="E154" s="10" t="s">
        <v>767</v>
      </c>
      <c r="F154" s="62"/>
    </row>
    <row r="155" spans="1:6" x14ac:dyDescent="0.3">
      <c r="A155" s="3" t="s">
        <v>768</v>
      </c>
      <c r="B155" s="10" t="s">
        <v>769</v>
      </c>
      <c r="C155" s="9" t="s">
        <v>770</v>
      </c>
      <c r="D155" s="9" t="s">
        <v>771</v>
      </c>
      <c r="E155" s="10" t="s">
        <v>517</v>
      </c>
      <c r="F155" s="62"/>
    </row>
    <row r="156" spans="1:6" x14ac:dyDescent="0.3">
      <c r="C156" s="9" t="s">
        <v>772</v>
      </c>
      <c r="D156" s="9" t="s">
        <v>773</v>
      </c>
      <c r="E156" s="10" t="s">
        <v>448</v>
      </c>
      <c r="F156" s="62"/>
    </row>
    <row r="157" spans="1:6" x14ac:dyDescent="0.3">
      <c r="C157" s="9" t="s">
        <v>774</v>
      </c>
      <c r="D157" s="9" t="s">
        <v>775</v>
      </c>
      <c r="E157" s="10" t="s">
        <v>517</v>
      </c>
      <c r="F157" s="62"/>
    </row>
    <row r="158" spans="1:6" x14ac:dyDescent="0.3">
      <c r="C158" s="9" t="s">
        <v>776</v>
      </c>
      <c r="D158" s="9" t="s">
        <v>643</v>
      </c>
      <c r="E158" s="10" t="s">
        <v>517</v>
      </c>
      <c r="F158" s="62"/>
    </row>
    <row r="159" spans="1:6" x14ac:dyDescent="0.3">
      <c r="C159" s="9" t="s">
        <v>777</v>
      </c>
      <c r="D159" s="9" t="s">
        <v>645</v>
      </c>
      <c r="E159" s="10" t="s">
        <v>448</v>
      </c>
      <c r="F159" s="62"/>
    </row>
    <row r="160" spans="1:6" x14ac:dyDescent="0.3">
      <c r="A160" s="3" t="s">
        <v>778</v>
      </c>
      <c r="B160" s="10" t="s">
        <v>779</v>
      </c>
      <c r="C160" s="9" t="s">
        <v>780</v>
      </c>
      <c r="D160" s="9" t="s">
        <v>739</v>
      </c>
      <c r="E160" s="10" t="s">
        <v>744</v>
      </c>
      <c r="F160" s="62"/>
    </row>
    <row r="161" spans="1:6" x14ac:dyDescent="0.3">
      <c r="C161" s="9" t="s">
        <v>781</v>
      </c>
      <c r="D161" s="9" t="s">
        <v>782</v>
      </c>
      <c r="E161" s="10" t="s">
        <v>783</v>
      </c>
      <c r="F161" s="62"/>
    </row>
    <row r="162" spans="1:6" x14ac:dyDescent="0.3">
      <c r="C162" s="9" t="s">
        <v>784</v>
      </c>
      <c r="D162" s="9" t="s">
        <v>785</v>
      </c>
      <c r="E162" s="10" t="s">
        <v>737</v>
      </c>
      <c r="F162" s="62"/>
    </row>
    <row r="163" spans="1:6" x14ac:dyDescent="0.3">
      <c r="C163" s="9" t="s">
        <v>786</v>
      </c>
      <c r="D163" s="9" t="s">
        <v>787</v>
      </c>
      <c r="E163" s="10" t="s">
        <v>587</v>
      </c>
      <c r="F163" s="62"/>
    </row>
    <row r="164" spans="1:6" x14ac:dyDescent="0.3">
      <c r="A164" s="3" t="s">
        <v>788</v>
      </c>
      <c r="B164" s="10" t="s">
        <v>789</v>
      </c>
      <c r="C164" s="9" t="s">
        <v>790</v>
      </c>
      <c r="D164" s="9" t="s">
        <v>643</v>
      </c>
      <c r="E164" s="10" t="s">
        <v>517</v>
      </c>
      <c r="F164" s="62"/>
    </row>
    <row r="165" spans="1:6" x14ac:dyDescent="0.3">
      <c r="C165" s="9" t="s">
        <v>791</v>
      </c>
      <c r="D165" s="9" t="s">
        <v>645</v>
      </c>
      <c r="E165" s="10" t="s">
        <v>517</v>
      </c>
      <c r="F165" s="62"/>
    </row>
    <row r="166" spans="1:6" ht="13.5" customHeight="1" x14ac:dyDescent="0.3">
      <c r="A166" s="3" t="s">
        <v>792</v>
      </c>
      <c r="B166" s="10" t="s">
        <v>793</v>
      </c>
      <c r="C166" s="9" t="s">
        <v>794</v>
      </c>
      <c r="D166" s="9" t="s">
        <v>608</v>
      </c>
      <c r="E166" s="9" t="str">
        <f>"0x"&amp;DEC2HEX(ROUNDDOWN((ROUNDDOWN((ROUNDDOWN(B20/(2000/B2),0))/2,0))/32, 0))</f>
        <v>0x92</v>
      </c>
      <c r="F166" s="62"/>
    </row>
    <row r="167" spans="1:6" x14ac:dyDescent="0.3">
      <c r="C167" s="9" t="s">
        <v>795</v>
      </c>
      <c r="D167" s="9" t="s">
        <v>675</v>
      </c>
      <c r="E167" s="9" t="str">
        <f>"0x"&amp;DEC2HEX(ROUNDUP(B53/(2000/B2)/2,0))</f>
        <v>0x9C</v>
      </c>
      <c r="F167" s="62"/>
    </row>
    <row r="168" spans="1:6" x14ac:dyDescent="0.3">
      <c r="A168" s="3" t="s">
        <v>796</v>
      </c>
      <c r="B168" s="10" t="s">
        <v>797</v>
      </c>
      <c r="C168" s="9" t="s">
        <v>798</v>
      </c>
      <c r="D168" s="9" t="s">
        <v>787</v>
      </c>
      <c r="E168" s="10" t="s">
        <v>587</v>
      </c>
      <c r="F168" s="62"/>
    </row>
    <row r="169" spans="1:6" x14ac:dyDescent="0.3">
      <c r="C169" s="9" t="s">
        <v>799</v>
      </c>
      <c r="D169" s="9" t="s">
        <v>643</v>
      </c>
      <c r="E169" s="10" t="s">
        <v>517</v>
      </c>
      <c r="F169" s="62"/>
    </row>
    <row r="170" spans="1:6" x14ac:dyDescent="0.3">
      <c r="C170" s="9" t="s">
        <v>466</v>
      </c>
      <c r="D170" s="9" t="s">
        <v>645</v>
      </c>
      <c r="E170" s="10" t="s">
        <v>517</v>
      </c>
      <c r="F170" s="62"/>
    </row>
    <row r="171" spans="1:6" x14ac:dyDescent="0.3">
      <c r="A171" s="3" t="s">
        <v>800</v>
      </c>
      <c r="B171" s="10" t="s">
        <v>801</v>
      </c>
      <c r="C171" s="9" t="s">
        <v>802</v>
      </c>
      <c r="D171" s="9" t="s">
        <v>593</v>
      </c>
      <c r="E171" s="10" t="s">
        <v>517</v>
      </c>
      <c r="F171" s="62"/>
    </row>
    <row r="172" spans="1:6" x14ac:dyDescent="0.3">
      <c r="C172" s="9" t="s">
        <v>803</v>
      </c>
      <c r="D172" s="9" t="s">
        <v>699</v>
      </c>
      <c r="E172" s="10" t="s">
        <v>21</v>
      </c>
      <c r="F172" s="62"/>
    </row>
    <row r="173" spans="1:6" x14ac:dyDescent="0.3">
      <c r="C173" s="9" t="s">
        <v>804</v>
      </c>
      <c r="D173" s="9" t="s">
        <v>751</v>
      </c>
      <c r="E173" s="10" t="s">
        <v>448</v>
      </c>
      <c r="F173" s="62"/>
    </row>
    <row r="174" spans="1:6" x14ac:dyDescent="0.3">
      <c r="C174" s="9" t="s">
        <v>805</v>
      </c>
      <c r="D174" s="9" t="s">
        <v>806</v>
      </c>
      <c r="E174" s="9" t="str">
        <f>"0x"&amp;DEC2HEX(ROUNDUP(B41/(2000/B2)/2,0))</f>
        <v>0x100</v>
      </c>
      <c r="F174" s="62"/>
    </row>
    <row r="175" spans="1:6" x14ac:dyDescent="0.3">
      <c r="C175" s="9" t="s">
        <v>807</v>
      </c>
      <c r="D175" s="9" t="s">
        <v>675</v>
      </c>
      <c r="E175" s="9" t="str">
        <f>"0x"&amp;DEC2HEX(ROUNDUP(B42/(2000/B2)/2,0))</f>
        <v>0x40</v>
      </c>
      <c r="F175" s="62"/>
    </row>
    <row r="176" spans="1:6" x14ac:dyDescent="0.3">
      <c r="A176" s="3" t="s">
        <v>734</v>
      </c>
      <c r="B176" s="10" t="s">
        <v>735</v>
      </c>
      <c r="C176" s="9" t="s">
        <v>736</v>
      </c>
      <c r="D176" s="9" t="s">
        <v>679</v>
      </c>
      <c r="E176" s="10" t="s">
        <v>737</v>
      </c>
      <c r="F176" s="62"/>
    </row>
    <row r="177" spans="1:6" x14ac:dyDescent="0.3">
      <c r="C177" s="9" t="s">
        <v>738</v>
      </c>
      <c r="D177" s="9" t="s">
        <v>739</v>
      </c>
      <c r="E177" s="10" t="s">
        <v>23</v>
      </c>
      <c r="F177" s="62"/>
    </row>
    <row r="178" spans="1:6" x14ac:dyDescent="0.3">
      <c r="C178" s="9" t="s">
        <v>740</v>
      </c>
      <c r="D178" s="9" t="s">
        <v>741</v>
      </c>
      <c r="E178" s="10" t="s">
        <v>517</v>
      </c>
      <c r="F178" s="62"/>
    </row>
    <row r="179" spans="1:6" x14ac:dyDescent="0.3">
      <c r="C179" s="9" t="s">
        <v>742</v>
      </c>
      <c r="D179" s="9" t="s">
        <v>808</v>
      </c>
      <c r="E179" s="10" t="s">
        <v>744</v>
      </c>
      <c r="F179" s="62"/>
    </row>
    <row r="180" spans="1:6" x14ac:dyDescent="0.3">
      <c r="C180" s="9" t="s">
        <v>745</v>
      </c>
      <c r="D180" s="9" t="s">
        <v>122</v>
      </c>
      <c r="E180" s="10" t="s">
        <v>517</v>
      </c>
      <c r="F180" s="62"/>
    </row>
    <row r="181" spans="1:6" x14ac:dyDescent="0.3">
      <c r="A181" s="3" t="s">
        <v>809</v>
      </c>
      <c r="B181" s="10" t="s">
        <v>810</v>
      </c>
      <c r="C181" s="9" t="s">
        <v>811</v>
      </c>
      <c r="D181" s="9" t="s">
        <v>732</v>
      </c>
      <c r="E181" s="10" t="s">
        <v>517</v>
      </c>
      <c r="F181" s="62"/>
    </row>
    <row r="182" spans="1:6" x14ac:dyDescent="0.3">
      <c r="C182" s="9" t="s">
        <v>812</v>
      </c>
      <c r="D182" s="9" t="s">
        <v>773</v>
      </c>
      <c r="E182" s="10" t="s">
        <v>448</v>
      </c>
      <c r="F182" s="62"/>
    </row>
    <row r="183" spans="1:6" x14ac:dyDescent="0.3">
      <c r="C183" s="9" t="s">
        <v>813</v>
      </c>
      <c r="D183" s="9" t="s">
        <v>814</v>
      </c>
      <c r="E183" s="10" t="s">
        <v>517</v>
      </c>
      <c r="F183" s="62"/>
    </row>
    <row r="184" spans="1:6" x14ac:dyDescent="0.3">
      <c r="C184" s="9" t="s">
        <v>815</v>
      </c>
      <c r="D184" s="9" t="s">
        <v>122</v>
      </c>
      <c r="E184" s="10" t="s">
        <v>285</v>
      </c>
      <c r="F184" s="62"/>
    </row>
    <row r="185" spans="1:6" x14ac:dyDescent="0.3">
      <c r="A185" s="3" t="s">
        <v>816</v>
      </c>
      <c r="B185" s="10" t="s">
        <v>817</v>
      </c>
      <c r="C185" s="9" t="s">
        <v>818</v>
      </c>
      <c r="D185" s="9" t="s">
        <v>645</v>
      </c>
      <c r="E185" s="10" t="s">
        <v>448</v>
      </c>
      <c r="F185" s="62"/>
    </row>
    <row r="186" spans="1:6" x14ac:dyDescent="0.3">
      <c r="A186" s="11" t="s">
        <v>819</v>
      </c>
      <c r="B186" s="10" t="s">
        <v>820</v>
      </c>
      <c r="C186" s="9" t="s">
        <v>468</v>
      </c>
      <c r="D186" s="9" t="s">
        <v>643</v>
      </c>
      <c r="E186" s="10" t="s">
        <v>517</v>
      </c>
      <c r="F186" s="62"/>
    </row>
    <row r="187" spans="1:6" x14ac:dyDescent="0.3">
      <c r="A187" s="11"/>
      <c r="C187" s="9" t="s">
        <v>821</v>
      </c>
      <c r="D187" s="9" t="s">
        <v>122</v>
      </c>
      <c r="E187" s="10" t="s">
        <v>517</v>
      </c>
      <c r="F187" s="62"/>
    </row>
    <row r="188" spans="1:6" x14ac:dyDescent="0.3">
      <c r="A188" s="11" t="s">
        <v>822</v>
      </c>
      <c r="B188" s="10" t="s">
        <v>823</v>
      </c>
      <c r="C188" s="9" t="s">
        <v>824</v>
      </c>
      <c r="D188" s="9" t="s">
        <v>773</v>
      </c>
      <c r="E188" s="10" t="s">
        <v>517</v>
      </c>
      <c r="F188" s="62"/>
    </row>
    <row r="189" spans="1:6" x14ac:dyDescent="0.3">
      <c r="A189" s="11"/>
      <c r="C189" s="9" t="s">
        <v>825</v>
      </c>
      <c r="D189" s="9" t="s">
        <v>814</v>
      </c>
      <c r="E189" s="10" t="s">
        <v>517</v>
      </c>
      <c r="F189" s="62"/>
    </row>
    <row r="190" spans="1:6" x14ac:dyDescent="0.3">
      <c r="A190" s="11"/>
      <c r="C190" s="9" t="s">
        <v>826</v>
      </c>
      <c r="D190" s="9" t="s">
        <v>645</v>
      </c>
      <c r="E190" s="10" t="s">
        <v>517</v>
      </c>
      <c r="F190" s="62"/>
    </row>
    <row r="191" spans="1:6" x14ac:dyDescent="0.3">
      <c r="A191" s="11" t="s">
        <v>827</v>
      </c>
      <c r="B191" s="10" t="s">
        <v>828</v>
      </c>
      <c r="C191" s="9" t="s">
        <v>829</v>
      </c>
      <c r="D191" s="9" t="s">
        <v>830</v>
      </c>
      <c r="E191" s="10" t="s">
        <v>517</v>
      </c>
      <c r="F191" s="62"/>
    </row>
    <row r="192" spans="1:6" x14ac:dyDescent="0.3">
      <c r="A192" s="11"/>
      <c r="C192" s="9" t="s">
        <v>831</v>
      </c>
      <c r="D192" s="9" t="s">
        <v>832</v>
      </c>
      <c r="E192" s="10" t="s">
        <v>587</v>
      </c>
      <c r="F192" s="62"/>
    </row>
    <row r="193" spans="1:6" x14ac:dyDescent="0.3">
      <c r="C193" s="9" t="s">
        <v>833</v>
      </c>
      <c r="D193" s="9" t="s">
        <v>741</v>
      </c>
      <c r="E193" s="10" t="s">
        <v>285</v>
      </c>
      <c r="F193" s="62"/>
    </row>
    <row r="194" spans="1:6" x14ac:dyDescent="0.3">
      <c r="C194" s="9" t="s">
        <v>834</v>
      </c>
      <c r="D194" s="9" t="s">
        <v>835</v>
      </c>
      <c r="E194" s="10" t="s">
        <v>517</v>
      </c>
      <c r="F194" s="62"/>
    </row>
    <row r="195" spans="1:6" x14ac:dyDescent="0.3">
      <c r="C195" s="9" t="s">
        <v>836</v>
      </c>
      <c r="D195" s="9" t="s">
        <v>467</v>
      </c>
      <c r="E195" s="10" t="s">
        <v>587</v>
      </c>
      <c r="F195" s="62"/>
    </row>
    <row r="196" spans="1:6" x14ac:dyDescent="0.3">
      <c r="C196" s="9" t="s">
        <v>837</v>
      </c>
      <c r="D196" s="9" t="s">
        <v>645</v>
      </c>
      <c r="E196" s="10" t="s">
        <v>587</v>
      </c>
      <c r="F196" s="62"/>
    </row>
    <row r="197" spans="1:6" x14ac:dyDescent="0.3">
      <c r="A197" s="3" t="s">
        <v>838</v>
      </c>
      <c r="B197" s="10" t="s">
        <v>839</v>
      </c>
      <c r="C197" s="9" t="s">
        <v>840</v>
      </c>
      <c r="D197" s="9" t="s">
        <v>687</v>
      </c>
      <c r="E197" s="10" t="str">
        <f>"0x"&amp;DEC2HEX(5+B22)</f>
        <v>0x6</v>
      </c>
      <c r="F197" s="62"/>
    </row>
    <row r="198" spans="1:6" x14ac:dyDescent="0.3">
      <c r="C198" s="9" t="s">
        <v>841</v>
      </c>
      <c r="D198" s="9" t="s">
        <v>730</v>
      </c>
      <c r="E198" s="10" t="str">
        <f>E136</f>
        <v>0x0</v>
      </c>
      <c r="F198" s="62"/>
    </row>
    <row r="199" spans="1:6" x14ac:dyDescent="0.3">
      <c r="C199" s="9" t="s">
        <v>842</v>
      </c>
      <c r="D199" s="9" t="s">
        <v>682</v>
      </c>
      <c r="E199" s="10" t="str">
        <f>"0x"&amp;DEC2HEX(5+B21)</f>
        <v>0x6</v>
      </c>
      <c r="F199" s="62"/>
    </row>
    <row r="200" spans="1:6" x14ac:dyDescent="0.3">
      <c r="C200" s="9" t="s">
        <v>843</v>
      </c>
      <c r="D200" s="9" t="s">
        <v>844</v>
      </c>
      <c r="E200" s="10" t="str">
        <f>"0x"&amp;DEC2HEX((B12-B14-B21+B22))</f>
        <v>0x5</v>
      </c>
      <c r="F200" s="62"/>
    </row>
    <row r="201" spans="1:6" x14ac:dyDescent="0.3">
      <c r="A201" s="3" t="s">
        <v>845</v>
      </c>
      <c r="B201" s="10" t="s">
        <v>42</v>
      </c>
      <c r="C201" s="9" t="s">
        <v>846</v>
      </c>
      <c r="D201" s="9" t="s">
        <v>743</v>
      </c>
      <c r="E201" s="10" t="s">
        <v>587</v>
      </c>
      <c r="F201" s="62"/>
    </row>
    <row r="202" spans="1:6" x14ac:dyDescent="0.3">
      <c r="C202" s="9" t="s">
        <v>847</v>
      </c>
      <c r="D202" s="9" t="s">
        <v>622</v>
      </c>
      <c r="E202" s="10" t="s">
        <v>587</v>
      </c>
      <c r="F202" s="62"/>
    </row>
    <row r="203" spans="1:6" x14ac:dyDescent="0.3">
      <c r="A203" s="3" t="s">
        <v>848</v>
      </c>
      <c r="B203" s="10" t="s">
        <v>849</v>
      </c>
      <c r="C203" s="9" t="s">
        <v>850</v>
      </c>
      <c r="D203" s="9" t="s">
        <v>645</v>
      </c>
      <c r="E203" s="10" t="s">
        <v>587</v>
      </c>
      <c r="F203" s="62"/>
    </row>
    <row r="204" spans="1:6" x14ac:dyDescent="0.3">
      <c r="A204" s="11" t="s">
        <v>851</v>
      </c>
      <c r="B204" s="10" t="s">
        <v>852</v>
      </c>
      <c r="C204" s="9" t="s">
        <v>850</v>
      </c>
      <c r="D204" s="9" t="s">
        <v>645</v>
      </c>
      <c r="E204" s="10" t="s">
        <v>587</v>
      </c>
      <c r="F204" s="62"/>
    </row>
    <row r="205" spans="1:6" x14ac:dyDescent="0.3">
      <c r="A205" s="11" t="s">
        <v>853</v>
      </c>
      <c r="B205" s="10" t="s">
        <v>854</v>
      </c>
      <c r="C205" s="9" t="s">
        <v>469</v>
      </c>
      <c r="D205" s="9" t="s">
        <v>645</v>
      </c>
      <c r="E205" s="10" t="s">
        <v>587</v>
      </c>
      <c r="F205" s="62"/>
    </row>
    <row r="206" spans="1:6" x14ac:dyDescent="0.3">
      <c r="A206" s="11" t="s">
        <v>470</v>
      </c>
      <c r="B206" s="10" t="s">
        <v>855</v>
      </c>
      <c r="C206" s="9" t="s">
        <v>850</v>
      </c>
      <c r="D206" s="9" t="s">
        <v>645</v>
      </c>
      <c r="E206" s="10" t="s">
        <v>285</v>
      </c>
      <c r="F206" s="62"/>
    </row>
    <row r="207" spans="1:6" x14ac:dyDescent="0.3">
      <c r="A207" s="11" t="s">
        <v>471</v>
      </c>
      <c r="B207" s="10" t="s">
        <v>856</v>
      </c>
      <c r="C207" s="9" t="s">
        <v>850</v>
      </c>
      <c r="D207" s="9" t="s">
        <v>645</v>
      </c>
      <c r="E207" s="10" t="s">
        <v>587</v>
      </c>
      <c r="F207" s="62"/>
    </row>
    <row r="208" spans="1:6" x14ac:dyDescent="0.3">
      <c r="A208" s="11" t="s">
        <v>857</v>
      </c>
      <c r="B208" s="10" t="s">
        <v>858</v>
      </c>
      <c r="C208" s="9" t="s">
        <v>850</v>
      </c>
      <c r="D208" s="9" t="s">
        <v>645</v>
      </c>
      <c r="E208" s="10" t="s">
        <v>587</v>
      </c>
      <c r="F208" s="62"/>
    </row>
    <row r="209" spans="1:6" x14ac:dyDescent="0.3">
      <c r="A209" s="11" t="s">
        <v>859</v>
      </c>
      <c r="B209" s="10" t="s">
        <v>860</v>
      </c>
      <c r="C209" s="9" t="s">
        <v>850</v>
      </c>
      <c r="D209" s="9" t="s">
        <v>645</v>
      </c>
      <c r="E209" s="10" t="s">
        <v>587</v>
      </c>
      <c r="F209" s="62"/>
    </row>
    <row r="210" spans="1:6" x14ac:dyDescent="0.3">
      <c r="A210" s="11" t="s">
        <v>861</v>
      </c>
      <c r="B210" s="10" t="s">
        <v>862</v>
      </c>
      <c r="C210" s="9" t="s">
        <v>850</v>
      </c>
      <c r="D210" s="9" t="s">
        <v>645</v>
      </c>
      <c r="E210" s="10" t="s">
        <v>587</v>
      </c>
      <c r="F210" s="80" t="s">
        <v>1110</v>
      </c>
    </row>
    <row r="211" spans="1:6" x14ac:dyDescent="0.3">
      <c r="A211" s="11"/>
    </row>
    <row r="212" spans="1:6" x14ac:dyDescent="0.3">
      <c r="A212" s="1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G235"/>
  <sheetViews>
    <sheetView topLeftCell="A197" zoomScaleNormal="100" workbookViewId="0">
      <selection activeCell="M224" sqref="M224"/>
    </sheetView>
  </sheetViews>
  <sheetFormatPr defaultColWidth="9" defaultRowHeight="14" x14ac:dyDescent="0.3"/>
  <cols>
    <col min="1" max="1" width="30.33203125" style="9" customWidth="1"/>
    <col min="2" max="2" width="14.08203125" style="9" customWidth="1"/>
    <col min="3" max="3" width="34.58203125" style="9" customWidth="1"/>
    <col min="4" max="4" width="7.58203125" style="9" customWidth="1"/>
    <col min="5" max="5" width="12.58203125" style="10" customWidth="1"/>
    <col min="6" max="6" width="25.5" style="7" customWidth="1"/>
    <col min="7" max="7" width="14.58203125" style="7" customWidth="1"/>
    <col min="8" max="16384" width="9" style="7"/>
  </cols>
  <sheetData>
    <row r="1" spans="1:7" x14ac:dyDescent="0.3">
      <c r="A1" s="13" t="s">
        <v>0</v>
      </c>
      <c r="B1" s="13" t="s">
        <v>86</v>
      </c>
      <c r="C1" s="13"/>
      <c r="D1" s="13"/>
      <c r="E1" s="14"/>
      <c r="F1" s="14"/>
    </row>
    <row r="2" spans="1:7" x14ac:dyDescent="0.3">
      <c r="A2" s="13" t="s">
        <v>1</v>
      </c>
      <c r="B2" s="13" t="s">
        <v>96</v>
      </c>
      <c r="C2" s="13"/>
      <c r="D2" s="13"/>
      <c r="E2" s="14"/>
      <c r="F2" s="14"/>
    </row>
    <row r="3" spans="1:7" x14ac:dyDescent="0.3">
      <c r="A3" s="13" t="s">
        <v>2</v>
      </c>
      <c r="B3" s="13" t="s">
        <v>3</v>
      </c>
      <c r="C3" s="13" t="s">
        <v>5</v>
      </c>
      <c r="D3" s="13" t="s">
        <v>6</v>
      </c>
      <c r="E3" s="14" t="s">
        <v>4</v>
      </c>
      <c r="F3" s="88" t="s">
        <v>1118</v>
      </c>
    </row>
    <row r="4" spans="1:7" x14ac:dyDescent="0.3">
      <c r="A4" s="3" t="s">
        <v>88</v>
      </c>
      <c r="B4" s="9" t="s">
        <v>89</v>
      </c>
      <c r="C4" s="9" t="s">
        <v>90</v>
      </c>
      <c r="D4" s="9" t="s">
        <v>91</v>
      </c>
      <c r="E4" s="70" t="s">
        <v>448</v>
      </c>
      <c r="F4" s="80" t="s">
        <v>1110</v>
      </c>
    </row>
    <row r="5" spans="1:7" ht="14.5" thickBot="1" x14ac:dyDescent="0.35">
      <c r="A5" s="23" t="s">
        <v>92</v>
      </c>
      <c r="B5" s="21" t="s">
        <v>93</v>
      </c>
      <c r="C5" s="21" t="s">
        <v>94</v>
      </c>
      <c r="D5" s="21" t="s">
        <v>91</v>
      </c>
      <c r="E5" s="71" t="s">
        <v>1120</v>
      </c>
      <c r="F5" s="80" t="s">
        <v>1110</v>
      </c>
    </row>
    <row r="6" spans="1:7" x14ac:dyDescent="0.3">
      <c r="A6" s="18" t="s">
        <v>28</v>
      </c>
      <c r="B6" s="19" t="s">
        <v>29</v>
      </c>
      <c r="C6" s="9" t="s">
        <v>472</v>
      </c>
      <c r="D6" s="9" t="s">
        <v>473</v>
      </c>
      <c r="E6" s="10" t="s">
        <v>474</v>
      </c>
      <c r="F6" s="8"/>
      <c r="G6" s="8"/>
    </row>
    <row r="7" spans="1:7" x14ac:dyDescent="0.3">
      <c r="C7" s="9" t="s">
        <v>475</v>
      </c>
      <c r="D7" s="9" t="s">
        <v>465</v>
      </c>
      <c r="E7" s="10" t="s">
        <v>476</v>
      </c>
      <c r="F7" s="8"/>
      <c r="G7" s="8"/>
    </row>
    <row r="8" spans="1:7" x14ac:dyDescent="0.3">
      <c r="C8" s="9" t="s">
        <v>477</v>
      </c>
      <c r="D8" s="9" t="s">
        <v>17</v>
      </c>
      <c r="E8" s="10" t="s">
        <v>476</v>
      </c>
      <c r="F8" s="8"/>
      <c r="G8" s="8"/>
    </row>
    <row r="9" spans="1:7" x14ac:dyDescent="0.3">
      <c r="A9" s="3" t="s">
        <v>30</v>
      </c>
      <c r="B9" s="9" t="s">
        <v>31</v>
      </c>
      <c r="C9" s="9" t="s">
        <v>32</v>
      </c>
      <c r="D9" s="9" t="s">
        <v>7</v>
      </c>
      <c r="E9" s="10" t="s">
        <v>285</v>
      </c>
      <c r="F9" s="8"/>
      <c r="G9" s="8"/>
    </row>
    <row r="10" spans="1:7" x14ac:dyDescent="0.3">
      <c r="C10" s="9" t="s">
        <v>478</v>
      </c>
      <c r="D10" s="9" t="s">
        <v>9</v>
      </c>
      <c r="E10" s="10" t="s">
        <v>479</v>
      </c>
      <c r="F10" s="8"/>
      <c r="G10" s="8"/>
    </row>
    <row r="11" spans="1:7" x14ac:dyDescent="0.3">
      <c r="C11" s="9" t="s">
        <v>480</v>
      </c>
      <c r="D11" s="9" t="s">
        <v>481</v>
      </c>
      <c r="E11" s="10" t="s">
        <v>285</v>
      </c>
      <c r="F11" s="8"/>
      <c r="G11" s="8"/>
    </row>
    <row r="12" spans="1:7" x14ac:dyDescent="0.3">
      <c r="C12" s="9" t="s">
        <v>482</v>
      </c>
      <c r="D12" s="9" t="s">
        <v>12</v>
      </c>
      <c r="E12" s="10" t="s">
        <v>483</v>
      </c>
      <c r="F12" s="8"/>
      <c r="G12" s="8"/>
    </row>
    <row r="13" spans="1:7" x14ac:dyDescent="0.3">
      <c r="A13" s="3" t="s">
        <v>33</v>
      </c>
      <c r="B13" s="9" t="s">
        <v>34</v>
      </c>
      <c r="C13" s="9" t="s">
        <v>484</v>
      </c>
      <c r="D13" s="9" t="s">
        <v>485</v>
      </c>
      <c r="E13" s="10" t="s">
        <v>479</v>
      </c>
      <c r="F13" s="8"/>
      <c r="G13" s="8"/>
    </row>
    <row r="14" spans="1:7" x14ac:dyDescent="0.3">
      <c r="C14" s="9" t="s">
        <v>486</v>
      </c>
      <c r="D14" s="9" t="s">
        <v>25</v>
      </c>
      <c r="E14" s="10" t="s">
        <v>487</v>
      </c>
      <c r="F14" s="8"/>
      <c r="G14" s="8"/>
    </row>
    <row r="15" spans="1:7" x14ac:dyDescent="0.3">
      <c r="C15" s="9" t="s">
        <v>488</v>
      </c>
      <c r="D15" s="9" t="s">
        <v>481</v>
      </c>
      <c r="E15" s="10" t="s">
        <v>479</v>
      </c>
      <c r="F15" s="8"/>
      <c r="G15" s="8"/>
    </row>
    <row r="16" spans="1:7" x14ac:dyDescent="0.3">
      <c r="C16" s="9" t="s">
        <v>489</v>
      </c>
      <c r="D16" s="9" t="s">
        <v>20</v>
      </c>
      <c r="E16" s="10" t="s">
        <v>479</v>
      </c>
      <c r="F16" s="8"/>
      <c r="G16" s="8"/>
    </row>
    <row r="17" spans="1:7" x14ac:dyDescent="0.3">
      <c r="A17" s="3" t="s">
        <v>35</v>
      </c>
      <c r="B17" s="9" t="s">
        <v>36</v>
      </c>
      <c r="C17" s="9" t="s">
        <v>491</v>
      </c>
      <c r="D17" s="9" t="s">
        <v>481</v>
      </c>
      <c r="E17" s="63" t="str">
        <f>"0x"&amp;DEC2HEX(31)</f>
        <v>0x1F</v>
      </c>
      <c r="F17" s="8"/>
      <c r="G17" s="8"/>
    </row>
    <row r="18" spans="1:7" x14ac:dyDescent="0.3">
      <c r="C18" s="9" t="s">
        <v>492</v>
      </c>
      <c r="D18" s="9" t="s">
        <v>20</v>
      </c>
      <c r="E18" s="63" t="str">
        <f>"0x"&amp;DEC2HEX(31)</f>
        <v>0x1F</v>
      </c>
      <c r="F18" s="8"/>
      <c r="G18" s="8"/>
    </row>
    <row r="19" spans="1:7" x14ac:dyDescent="0.3">
      <c r="A19" s="3" t="s">
        <v>37</v>
      </c>
      <c r="B19" s="9" t="s">
        <v>38</v>
      </c>
      <c r="C19" s="9" t="s">
        <v>493</v>
      </c>
      <c r="D19" s="9" t="s">
        <v>7</v>
      </c>
      <c r="E19" s="10" t="s">
        <v>495</v>
      </c>
      <c r="F19" s="8"/>
      <c r="G19" s="8"/>
    </row>
    <row r="20" spans="1:7" x14ac:dyDescent="0.3">
      <c r="C20" s="9" t="s">
        <v>496</v>
      </c>
      <c r="D20" s="9" t="s">
        <v>9</v>
      </c>
      <c r="E20" s="10" t="s">
        <v>497</v>
      </c>
      <c r="F20" s="8"/>
      <c r="G20" s="8"/>
    </row>
    <row r="21" spans="1:7" x14ac:dyDescent="0.3">
      <c r="C21" s="9" t="s">
        <v>498</v>
      </c>
      <c r="D21" s="9" t="s">
        <v>11</v>
      </c>
      <c r="E21" s="10" t="s">
        <v>497</v>
      </c>
      <c r="F21" s="8"/>
      <c r="G21" s="8"/>
    </row>
    <row r="22" spans="1:7" x14ac:dyDescent="0.3">
      <c r="C22" s="9" t="s">
        <v>499</v>
      </c>
      <c r="D22" s="9" t="s">
        <v>12</v>
      </c>
      <c r="E22" s="10" t="s">
        <v>497</v>
      </c>
      <c r="F22" s="8"/>
      <c r="G22" s="8"/>
    </row>
    <row r="23" spans="1:7" x14ac:dyDescent="0.3">
      <c r="A23" s="3" t="s">
        <v>39</v>
      </c>
      <c r="B23" s="9" t="s">
        <v>40</v>
      </c>
      <c r="C23" s="9" t="s">
        <v>500</v>
      </c>
      <c r="D23" s="9" t="s">
        <v>7</v>
      </c>
      <c r="E23" s="10" t="s">
        <v>41</v>
      </c>
      <c r="F23" s="8"/>
      <c r="G23" s="8"/>
    </row>
    <row r="24" spans="1:7" x14ac:dyDescent="0.3">
      <c r="C24" s="9" t="s">
        <v>501</v>
      </c>
      <c r="D24" s="9" t="s">
        <v>9</v>
      </c>
      <c r="E24" s="10" t="s">
        <v>497</v>
      </c>
      <c r="F24" s="8"/>
      <c r="G24" s="8"/>
    </row>
    <row r="25" spans="1:7" x14ac:dyDescent="0.3">
      <c r="C25" s="9" t="s">
        <v>502</v>
      </c>
      <c r="D25" s="9" t="s">
        <v>11</v>
      </c>
      <c r="E25" s="10" t="s">
        <v>495</v>
      </c>
      <c r="F25" s="8"/>
      <c r="G25" s="8"/>
    </row>
    <row r="26" spans="1:7" x14ac:dyDescent="0.3">
      <c r="C26" s="9" t="s">
        <v>503</v>
      </c>
      <c r="D26" s="9" t="s">
        <v>12</v>
      </c>
      <c r="E26" s="10" t="s">
        <v>497</v>
      </c>
      <c r="F26" s="8"/>
      <c r="G26" s="8"/>
    </row>
    <row r="27" spans="1:7" x14ac:dyDescent="0.3">
      <c r="A27" s="3" t="s">
        <v>119</v>
      </c>
      <c r="B27" s="9" t="s">
        <v>118</v>
      </c>
      <c r="C27" s="9" t="s">
        <v>504</v>
      </c>
      <c r="D27" s="9" t="s">
        <v>11</v>
      </c>
      <c r="E27" s="10" t="str">
        <f>"0x"&amp;DEC2HEX(15)</f>
        <v>0xF</v>
      </c>
      <c r="F27" s="104"/>
      <c r="G27" s="8"/>
    </row>
    <row r="28" spans="1:7" x14ac:dyDescent="0.3">
      <c r="C28" s="9" t="s">
        <v>505</v>
      </c>
      <c r="D28" s="9" t="s">
        <v>12</v>
      </c>
      <c r="E28" s="10" t="s">
        <v>989</v>
      </c>
      <c r="F28" s="104"/>
      <c r="G28" s="8"/>
    </row>
    <row r="29" spans="1:7" x14ac:dyDescent="0.3">
      <c r="A29" s="3" t="s">
        <v>116</v>
      </c>
      <c r="B29" s="9" t="s">
        <v>117</v>
      </c>
      <c r="C29" s="9" t="s">
        <v>506</v>
      </c>
      <c r="D29" s="9" t="s">
        <v>465</v>
      </c>
      <c r="E29" s="10" t="s">
        <v>507</v>
      </c>
      <c r="F29" s="104"/>
      <c r="G29" s="8"/>
    </row>
    <row r="30" spans="1:7" ht="14.5" thickBot="1" x14ac:dyDescent="0.35">
      <c r="A30" s="21"/>
      <c r="B30" s="21"/>
      <c r="C30" s="9" t="s">
        <v>508</v>
      </c>
      <c r="D30" s="9" t="s">
        <v>17</v>
      </c>
      <c r="E30" s="10" t="s">
        <v>487</v>
      </c>
      <c r="F30" s="104"/>
      <c r="G30" s="8"/>
    </row>
    <row r="31" spans="1:7" x14ac:dyDescent="0.3">
      <c r="A31" s="18" t="s">
        <v>44</v>
      </c>
      <c r="B31" s="19" t="s">
        <v>45</v>
      </c>
      <c r="C31" s="19" t="s">
        <v>46</v>
      </c>
      <c r="D31" s="19" t="s">
        <v>24</v>
      </c>
      <c r="E31" s="20" t="s">
        <v>21</v>
      </c>
    </row>
    <row r="32" spans="1:7" x14ac:dyDescent="0.3">
      <c r="C32" s="9" t="s">
        <v>47</v>
      </c>
      <c r="D32" s="9" t="s">
        <v>19</v>
      </c>
      <c r="E32" s="10" t="s">
        <v>48</v>
      </c>
    </row>
    <row r="33" spans="1:6" x14ac:dyDescent="0.3">
      <c r="C33" s="9" t="s">
        <v>49</v>
      </c>
      <c r="D33" s="9" t="s">
        <v>1119</v>
      </c>
      <c r="E33" s="70" t="s">
        <v>990</v>
      </c>
      <c r="F33" s="80" t="s">
        <v>1110</v>
      </c>
    </row>
    <row r="34" spans="1:6" x14ac:dyDescent="0.3">
      <c r="C34" s="9" t="s">
        <v>50</v>
      </c>
      <c r="D34" s="9" t="s">
        <v>51</v>
      </c>
      <c r="E34" s="10" t="s">
        <v>22</v>
      </c>
    </row>
    <row r="35" spans="1:6" x14ac:dyDescent="0.3">
      <c r="C35" s="9" t="s">
        <v>52</v>
      </c>
      <c r="D35" s="9" t="s">
        <v>13</v>
      </c>
      <c r="E35" s="10" t="s">
        <v>21</v>
      </c>
    </row>
    <row r="36" spans="1:6" x14ac:dyDescent="0.3">
      <c r="C36" s="9" t="s">
        <v>53</v>
      </c>
      <c r="D36" s="9" t="s">
        <v>14</v>
      </c>
      <c r="E36" s="10" t="s">
        <v>21</v>
      </c>
    </row>
    <row r="37" spans="1:6" x14ac:dyDescent="0.3">
      <c r="A37" s="3" t="s">
        <v>54</v>
      </c>
      <c r="B37" s="9" t="s">
        <v>55</v>
      </c>
      <c r="C37" s="9" t="s">
        <v>56</v>
      </c>
      <c r="D37" s="9" t="s">
        <v>27</v>
      </c>
      <c r="E37" s="10" t="s">
        <v>157</v>
      </c>
    </row>
    <row r="38" spans="1:6" x14ac:dyDescent="0.3">
      <c r="A38" s="3" t="s">
        <v>57</v>
      </c>
      <c r="B38" s="9" t="s">
        <v>58</v>
      </c>
      <c r="C38" s="9" t="s">
        <v>59</v>
      </c>
      <c r="D38" s="9" t="s">
        <v>60</v>
      </c>
      <c r="E38" s="10" t="s">
        <v>41</v>
      </c>
    </row>
    <row r="39" spans="1:6" x14ac:dyDescent="0.3">
      <c r="C39" s="9" t="s">
        <v>61</v>
      </c>
      <c r="D39" s="9" t="s">
        <v>18</v>
      </c>
      <c r="E39" s="10" t="s">
        <v>99</v>
      </c>
    </row>
    <row r="40" spans="1:6" x14ac:dyDescent="0.3">
      <c r="A40" s="3" t="s">
        <v>62</v>
      </c>
      <c r="B40" s="9" t="s">
        <v>63</v>
      </c>
      <c r="C40" s="9" t="s">
        <v>64</v>
      </c>
      <c r="D40" s="9" t="s">
        <v>60</v>
      </c>
      <c r="E40" s="10" t="s">
        <v>41</v>
      </c>
    </row>
    <row r="41" spans="1:6" x14ac:dyDescent="0.3">
      <c r="C41" s="9" t="s">
        <v>65</v>
      </c>
      <c r="D41" s="9" t="s">
        <v>18</v>
      </c>
      <c r="E41" s="10" t="s">
        <v>98</v>
      </c>
    </row>
    <row r="42" spans="1:6" x14ac:dyDescent="0.3">
      <c r="A42" s="3" t="s">
        <v>66</v>
      </c>
      <c r="B42" s="9" t="s">
        <v>67</v>
      </c>
      <c r="C42" s="9" t="s">
        <v>68</v>
      </c>
      <c r="D42" s="9" t="s">
        <v>60</v>
      </c>
      <c r="E42" s="10" t="s">
        <v>41</v>
      </c>
    </row>
    <row r="43" spans="1:6" x14ac:dyDescent="0.3">
      <c r="C43" s="9" t="s">
        <v>69</v>
      </c>
      <c r="D43" s="9" t="s">
        <v>18</v>
      </c>
      <c r="E43" s="10" t="s">
        <v>98</v>
      </c>
    </row>
    <row r="44" spans="1:6" x14ac:dyDescent="0.3">
      <c r="A44" s="3" t="s">
        <v>70</v>
      </c>
      <c r="B44" s="9" t="s">
        <v>71</v>
      </c>
      <c r="C44" s="9" t="s">
        <v>72</v>
      </c>
      <c r="D44" s="9" t="s">
        <v>73</v>
      </c>
      <c r="E44" s="10" t="s">
        <v>21</v>
      </c>
    </row>
    <row r="45" spans="1:6" x14ac:dyDescent="0.3">
      <c r="C45" s="9" t="s">
        <v>74</v>
      </c>
      <c r="D45" s="9" t="s">
        <v>51</v>
      </c>
      <c r="E45" s="10" t="s">
        <v>21</v>
      </c>
    </row>
    <row r="46" spans="1:6" x14ac:dyDescent="0.3">
      <c r="C46" s="9" t="s">
        <v>75</v>
      </c>
      <c r="D46" s="9" t="s">
        <v>13</v>
      </c>
      <c r="E46" s="10" t="s">
        <v>21</v>
      </c>
    </row>
    <row r="47" spans="1:6" x14ac:dyDescent="0.3">
      <c r="C47" s="9" t="s">
        <v>76</v>
      </c>
      <c r="D47" s="9" t="s">
        <v>14</v>
      </c>
      <c r="E47" s="10" t="s">
        <v>21</v>
      </c>
    </row>
    <row r="48" spans="1:6" x14ac:dyDescent="0.3">
      <c r="A48" s="3" t="s">
        <v>77</v>
      </c>
      <c r="B48" s="9" t="s">
        <v>78</v>
      </c>
      <c r="C48" s="9" t="s">
        <v>79</v>
      </c>
      <c r="D48" s="9" t="s">
        <v>14</v>
      </c>
      <c r="E48" s="10" t="s">
        <v>22</v>
      </c>
    </row>
    <row r="49" spans="1:6" x14ac:dyDescent="0.3">
      <c r="A49" s="3" t="s">
        <v>80</v>
      </c>
      <c r="B49" s="9" t="s">
        <v>81</v>
      </c>
      <c r="C49" s="9" t="s">
        <v>82</v>
      </c>
      <c r="D49" s="9" t="s">
        <v>83</v>
      </c>
      <c r="E49" s="10" t="s">
        <v>22</v>
      </c>
    </row>
    <row r="50" spans="1:6" x14ac:dyDescent="0.3">
      <c r="C50" s="9" t="s">
        <v>84</v>
      </c>
      <c r="D50" s="9" t="s">
        <v>73</v>
      </c>
      <c r="E50" s="10" t="s">
        <v>21</v>
      </c>
    </row>
    <row r="51" spans="1:6" ht="14.5" thickBot="1" x14ac:dyDescent="0.35">
      <c r="A51" s="73"/>
      <c r="B51" s="73"/>
      <c r="C51" s="73" t="s">
        <v>85</v>
      </c>
      <c r="D51" s="73" t="s">
        <v>14</v>
      </c>
      <c r="E51" s="74" t="s">
        <v>22</v>
      </c>
      <c r="F51" s="75"/>
    </row>
    <row r="52" spans="1:6" ht="14.5" thickTop="1" x14ac:dyDescent="0.3">
      <c r="A52" s="72" t="s">
        <v>330</v>
      </c>
      <c r="B52" s="72" t="s">
        <v>376</v>
      </c>
      <c r="C52" s="72" t="s">
        <v>994</v>
      </c>
      <c r="D52" s="72" t="s">
        <v>1121</v>
      </c>
      <c r="E52" s="72" t="s">
        <v>331</v>
      </c>
      <c r="F52" s="22" t="s">
        <v>150</v>
      </c>
    </row>
    <row r="53" spans="1:6" x14ac:dyDescent="0.3">
      <c r="A53" s="4"/>
      <c r="B53" s="4"/>
      <c r="C53" s="4" t="s">
        <v>995</v>
      </c>
      <c r="D53" s="4" t="s">
        <v>1122</v>
      </c>
      <c r="E53" s="4" t="s">
        <v>329</v>
      </c>
    </row>
    <row r="54" spans="1:6" x14ac:dyDescent="0.3">
      <c r="A54" s="4"/>
      <c r="B54" s="4"/>
      <c r="C54" s="4" t="s">
        <v>991</v>
      </c>
      <c r="D54" s="4" t="s">
        <v>1123</v>
      </c>
      <c r="E54" s="4" t="s">
        <v>331</v>
      </c>
    </row>
    <row r="55" spans="1:6" x14ac:dyDescent="0.3">
      <c r="A55" s="4"/>
      <c r="B55" s="4"/>
      <c r="C55" s="4" t="s">
        <v>992</v>
      </c>
      <c r="D55" s="4" t="s">
        <v>1124</v>
      </c>
      <c r="E55" s="4" t="s">
        <v>977</v>
      </c>
    </row>
    <row r="56" spans="1:6" x14ac:dyDescent="0.3">
      <c r="A56" s="4"/>
      <c r="B56" s="4"/>
      <c r="C56" s="4" t="s">
        <v>993</v>
      </c>
      <c r="D56" s="4" t="s">
        <v>15</v>
      </c>
      <c r="E56" s="4" t="s">
        <v>332</v>
      </c>
    </row>
    <row r="57" spans="1:6" x14ac:dyDescent="0.3">
      <c r="A57" s="4" t="s">
        <v>333</v>
      </c>
      <c r="B57" s="4" t="s">
        <v>377</v>
      </c>
      <c r="C57" s="4" t="s">
        <v>994</v>
      </c>
      <c r="D57" s="4" t="s">
        <v>1121</v>
      </c>
      <c r="E57" s="4" t="s">
        <v>331</v>
      </c>
      <c r="F57" s="22" t="s">
        <v>151</v>
      </c>
    </row>
    <row r="58" spans="1:6" x14ac:dyDescent="0.3">
      <c r="A58" s="4"/>
      <c r="B58" s="4"/>
      <c r="C58" s="4" t="s">
        <v>995</v>
      </c>
      <c r="D58" s="4" t="s">
        <v>1122</v>
      </c>
      <c r="E58" s="4" t="s">
        <v>329</v>
      </c>
    </row>
    <row r="59" spans="1:6" x14ac:dyDescent="0.3">
      <c r="A59" s="4"/>
      <c r="B59" s="4"/>
      <c r="C59" s="4" t="s">
        <v>991</v>
      </c>
      <c r="D59" s="4" t="s">
        <v>1123</v>
      </c>
      <c r="E59" s="4" t="s">
        <v>331</v>
      </c>
    </row>
    <row r="60" spans="1:6" x14ac:dyDescent="0.3">
      <c r="A60" s="4"/>
      <c r="B60" s="4"/>
      <c r="C60" s="4" t="s">
        <v>992</v>
      </c>
      <c r="D60" s="4" t="s">
        <v>1124</v>
      </c>
      <c r="E60" s="4" t="s">
        <v>329</v>
      </c>
    </row>
    <row r="61" spans="1:6" x14ac:dyDescent="0.3">
      <c r="A61" s="4"/>
      <c r="B61" s="4"/>
      <c r="C61" s="4" t="s">
        <v>993</v>
      </c>
      <c r="D61" s="4" t="s">
        <v>15</v>
      </c>
      <c r="E61" s="4" t="s">
        <v>1071</v>
      </c>
    </row>
    <row r="62" spans="1:6" x14ac:dyDescent="0.3">
      <c r="A62" s="4" t="s">
        <v>334</v>
      </c>
      <c r="B62" s="4" t="s">
        <v>378</v>
      </c>
      <c r="C62" s="4" t="s">
        <v>994</v>
      </c>
      <c r="D62" s="4" t="s">
        <v>1121</v>
      </c>
      <c r="E62" s="4" t="s">
        <v>331</v>
      </c>
      <c r="F62" s="22" t="s">
        <v>152</v>
      </c>
    </row>
    <row r="63" spans="1:6" x14ac:dyDescent="0.3">
      <c r="A63" s="4"/>
      <c r="B63" s="4"/>
      <c r="C63" s="4" t="s">
        <v>995</v>
      </c>
      <c r="D63" s="4" t="s">
        <v>1122</v>
      </c>
      <c r="E63" s="4" t="s">
        <v>329</v>
      </c>
    </row>
    <row r="64" spans="1:6" x14ac:dyDescent="0.3">
      <c r="A64" s="4"/>
      <c r="B64" s="4"/>
      <c r="C64" s="4" t="s">
        <v>991</v>
      </c>
      <c r="D64" s="4" t="s">
        <v>1123</v>
      </c>
      <c r="E64" s="4" t="s">
        <v>329</v>
      </c>
    </row>
    <row r="65" spans="1:6" x14ac:dyDescent="0.3">
      <c r="A65" s="4"/>
      <c r="B65" s="4"/>
      <c r="C65" s="4" t="s">
        <v>992</v>
      </c>
      <c r="D65" s="4" t="s">
        <v>1124</v>
      </c>
      <c r="E65" s="4" t="s">
        <v>329</v>
      </c>
    </row>
    <row r="66" spans="1:6" x14ac:dyDescent="0.3">
      <c r="A66" s="4"/>
      <c r="B66" s="4"/>
      <c r="C66" s="4" t="s">
        <v>993</v>
      </c>
      <c r="D66" s="4" t="s">
        <v>15</v>
      </c>
      <c r="E66" s="4" t="s">
        <v>1070</v>
      </c>
    </row>
    <row r="67" spans="1:6" x14ac:dyDescent="0.3">
      <c r="A67" s="4" t="s">
        <v>335</v>
      </c>
      <c r="B67" s="4" t="s">
        <v>379</v>
      </c>
      <c r="C67" s="4" t="s">
        <v>994</v>
      </c>
      <c r="D67" s="4" t="s">
        <v>1121</v>
      </c>
      <c r="E67" s="4" t="s">
        <v>331</v>
      </c>
      <c r="F67" s="22" t="s">
        <v>153</v>
      </c>
    </row>
    <row r="68" spans="1:6" x14ac:dyDescent="0.3">
      <c r="A68" s="4"/>
      <c r="B68" s="4"/>
      <c r="C68" s="4" t="s">
        <v>995</v>
      </c>
      <c r="D68" s="4" t="s">
        <v>1122</v>
      </c>
      <c r="E68" s="4" t="s">
        <v>329</v>
      </c>
    </row>
    <row r="69" spans="1:6" x14ac:dyDescent="0.3">
      <c r="A69" s="4"/>
      <c r="B69" s="4"/>
      <c r="C69" s="4" t="s">
        <v>991</v>
      </c>
      <c r="D69" s="4" t="s">
        <v>1123</v>
      </c>
      <c r="E69" s="4" t="s">
        <v>331</v>
      </c>
    </row>
    <row r="70" spans="1:6" x14ac:dyDescent="0.3">
      <c r="A70" s="4"/>
      <c r="B70" s="4"/>
      <c r="C70" s="4" t="s">
        <v>992</v>
      </c>
      <c r="D70" s="4" t="s">
        <v>1124</v>
      </c>
      <c r="E70" s="4" t="s">
        <v>329</v>
      </c>
    </row>
    <row r="71" spans="1:6" x14ac:dyDescent="0.3">
      <c r="A71" s="4"/>
      <c r="B71" s="4"/>
      <c r="C71" s="4" t="s">
        <v>993</v>
      </c>
      <c r="D71" s="4" t="s">
        <v>15</v>
      </c>
      <c r="E71" s="4" t="s">
        <v>1071</v>
      </c>
    </row>
    <row r="72" spans="1:6" x14ac:dyDescent="0.3">
      <c r="A72" s="4" t="s">
        <v>336</v>
      </c>
      <c r="B72" s="4" t="s">
        <v>380</v>
      </c>
      <c r="C72" s="4" t="s">
        <v>994</v>
      </c>
      <c r="D72" s="4" t="s">
        <v>1121</v>
      </c>
      <c r="E72" s="4" t="s">
        <v>331</v>
      </c>
      <c r="F72" s="22" t="s">
        <v>154</v>
      </c>
    </row>
    <row r="73" spans="1:6" x14ac:dyDescent="0.3">
      <c r="A73" s="4"/>
      <c r="B73" s="4"/>
      <c r="C73" s="4" t="s">
        <v>995</v>
      </c>
      <c r="D73" s="4" t="s">
        <v>1122</v>
      </c>
      <c r="E73" s="4" t="s">
        <v>329</v>
      </c>
    </row>
    <row r="74" spans="1:6" x14ac:dyDescent="0.3">
      <c r="A74" s="4"/>
      <c r="B74" s="4"/>
      <c r="C74" s="4" t="s">
        <v>991</v>
      </c>
      <c r="D74" s="4" t="s">
        <v>1123</v>
      </c>
      <c r="E74" s="4" t="s">
        <v>331</v>
      </c>
    </row>
    <row r="75" spans="1:6" x14ac:dyDescent="0.3">
      <c r="A75" s="4"/>
      <c r="B75" s="4"/>
      <c r="C75" s="4" t="s">
        <v>992</v>
      </c>
      <c r="D75" s="4" t="s">
        <v>1124</v>
      </c>
      <c r="E75" s="4" t="s">
        <v>329</v>
      </c>
    </row>
    <row r="76" spans="1:6" x14ac:dyDescent="0.3">
      <c r="A76" s="4"/>
      <c r="B76" s="4"/>
      <c r="C76" s="4" t="s">
        <v>993</v>
      </c>
      <c r="D76" s="4" t="s">
        <v>15</v>
      </c>
      <c r="E76" s="4" t="s">
        <v>1069</v>
      </c>
    </row>
    <row r="77" spans="1:6" x14ac:dyDescent="0.3">
      <c r="A77" s="4" t="s">
        <v>127</v>
      </c>
      <c r="B77" s="4" t="s">
        <v>381</v>
      </c>
      <c r="C77" s="4" t="s">
        <v>994</v>
      </c>
      <c r="D77" s="4" t="s">
        <v>1121</v>
      </c>
      <c r="E77" s="4" t="s">
        <v>331</v>
      </c>
      <c r="F77" s="22" t="s">
        <v>155</v>
      </c>
    </row>
    <row r="78" spans="1:6" x14ac:dyDescent="0.3">
      <c r="A78" s="4"/>
      <c r="B78" s="4"/>
      <c r="C78" s="4" t="s">
        <v>995</v>
      </c>
      <c r="D78" s="4" t="s">
        <v>1122</v>
      </c>
      <c r="E78" s="4" t="s">
        <v>329</v>
      </c>
    </row>
    <row r="79" spans="1:6" x14ac:dyDescent="0.3">
      <c r="A79" s="4"/>
      <c r="B79" s="4"/>
      <c r="C79" s="4" t="s">
        <v>991</v>
      </c>
      <c r="D79" s="4" t="s">
        <v>1123</v>
      </c>
      <c r="E79" s="4" t="s">
        <v>331</v>
      </c>
    </row>
    <row r="80" spans="1:6" x14ac:dyDescent="0.3">
      <c r="A80" s="4"/>
      <c r="B80" s="4"/>
      <c r="C80" s="4" t="s">
        <v>992</v>
      </c>
      <c r="D80" s="4" t="s">
        <v>1124</v>
      </c>
      <c r="E80" s="4" t="s">
        <v>329</v>
      </c>
    </row>
    <row r="81" spans="1:6" x14ac:dyDescent="0.3">
      <c r="A81" s="4"/>
      <c r="B81" s="4"/>
      <c r="C81" s="4" t="s">
        <v>993</v>
      </c>
      <c r="D81" s="4" t="s">
        <v>15</v>
      </c>
      <c r="E81" s="4" t="s">
        <v>1072</v>
      </c>
    </row>
    <row r="82" spans="1:6" x14ac:dyDescent="0.3">
      <c r="A82" s="4" t="s">
        <v>133</v>
      </c>
      <c r="B82" s="4" t="s">
        <v>382</v>
      </c>
      <c r="C82" s="4" t="s">
        <v>994</v>
      </c>
      <c r="D82" s="4" t="s">
        <v>1121</v>
      </c>
      <c r="E82" s="4" t="s">
        <v>331</v>
      </c>
      <c r="F82" s="22" t="s">
        <v>156</v>
      </c>
    </row>
    <row r="83" spans="1:6" x14ac:dyDescent="0.3">
      <c r="A83" s="4"/>
      <c r="B83" s="4"/>
      <c r="C83" s="4" t="s">
        <v>995</v>
      </c>
      <c r="D83" s="4" t="s">
        <v>1122</v>
      </c>
      <c r="E83" s="4" t="s">
        <v>329</v>
      </c>
    </row>
    <row r="84" spans="1:6" x14ac:dyDescent="0.3">
      <c r="A84" s="4"/>
      <c r="B84" s="4"/>
      <c r="C84" s="4" t="s">
        <v>991</v>
      </c>
      <c r="D84" s="4" t="s">
        <v>1123</v>
      </c>
      <c r="E84" s="4" t="s">
        <v>331</v>
      </c>
    </row>
    <row r="85" spans="1:6" x14ac:dyDescent="0.3">
      <c r="A85" s="4"/>
      <c r="B85" s="4"/>
      <c r="C85" s="4" t="s">
        <v>992</v>
      </c>
      <c r="D85" s="4" t="s">
        <v>1124</v>
      </c>
      <c r="E85" s="4" t="s">
        <v>329</v>
      </c>
    </row>
    <row r="86" spans="1:6" x14ac:dyDescent="0.3">
      <c r="A86" s="4"/>
      <c r="B86" s="4"/>
      <c r="C86" s="4" t="s">
        <v>993</v>
      </c>
      <c r="D86" s="4" t="s">
        <v>15</v>
      </c>
      <c r="E86" s="4" t="s">
        <v>332</v>
      </c>
    </row>
    <row r="87" spans="1:6" x14ac:dyDescent="0.3">
      <c r="A87" s="4" t="s">
        <v>337</v>
      </c>
      <c r="B87" s="4" t="s">
        <v>383</v>
      </c>
      <c r="C87" s="4" t="s">
        <v>994</v>
      </c>
      <c r="D87" s="4" t="s">
        <v>1121</v>
      </c>
      <c r="E87" s="56" t="s">
        <v>329</v>
      </c>
      <c r="F87" s="22" t="s">
        <v>1014</v>
      </c>
    </row>
    <row r="88" spans="1:6" x14ac:dyDescent="0.3">
      <c r="A88" s="4"/>
      <c r="B88" s="4"/>
      <c r="C88" s="4" t="s">
        <v>995</v>
      </c>
      <c r="D88" s="4" t="s">
        <v>1122</v>
      </c>
      <c r="E88" s="4" t="s">
        <v>329</v>
      </c>
    </row>
    <row r="89" spans="1:6" x14ac:dyDescent="0.3">
      <c r="A89" s="4"/>
      <c r="B89" s="4"/>
      <c r="C89" s="4" t="s">
        <v>991</v>
      </c>
      <c r="D89" s="4" t="s">
        <v>1123</v>
      </c>
      <c r="E89" s="4" t="s">
        <v>331</v>
      </c>
    </row>
    <row r="90" spans="1:6" x14ac:dyDescent="0.3">
      <c r="A90" s="4"/>
      <c r="B90" s="4"/>
      <c r="C90" s="4" t="s">
        <v>992</v>
      </c>
      <c r="D90" s="4" t="s">
        <v>1124</v>
      </c>
      <c r="E90" s="4" t="s">
        <v>329</v>
      </c>
    </row>
    <row r="91" spans="1:6" ht="14.5" thickBot="1" x14ac:dyDescent="0.35">
      <c r="A91" s="76"/>
      <c r="B91" s="76"/>
      <c r="C91" s="76" t="s">
        <v>993</v>
      </c>
      <c r="D91" s="76" t="s">
        <v>15</v>
      </c>
      <c r="E91" s="76" t="s">
        <v>332</v>
      </c>
      <c r="F91" s="75"/>
    </row>
    <row r="92" spans="1:6" ht="14.5" thickTop="1" x14ac:dyDescent="0.3">
      <c r="A92" s="72" t="s">
        <v>338</v>
      </c>
      <c r="B92" s="72" t="s">
        <v>384</v>
      </c>
      <c r="C92" s="72" t="s">
        <v>996</v>
      </c>
      <c r="D92" s="72" t="s">
        <v>1122</v>
      </c>
      <c r="E92" s="72" t="s">
        <v>329</v>
      </c>
      <c r="F92" s="22" t="s">
        <v>150</v>
      </c>
    </row>
    <row r="93" spans="1:6" x14ac:dyDescent="0.3">
      <c r="A93" s="4"/>
      <c r="B93" s="4"/>
      <c r="C93" s="4" t="s">
        <v>997</v>
      </c>
      <c r="D93" s="4" t="s">
        <v>1123</v>
      </c>
      <c r="E93" s="4" t="s">
        <v>331</v>
      </c>
    </row>
    <row r="94" spans="1:6" x14ac:dyDescent="0.3">
      <c r="A94" s="4"/>
      <c r="B94" s="4"/>
      <c r="C94" s="4" t="s">
        <v>998</v>
      </c>
      <c r="D94" s="4" t="s">
        <v>1124</v>
      </c>
      <c r="E94" s="4" t="s">
        <v>1073</v>
      </c>
    </row>
    <row r="95" spans="1:6" x14ac:dyDescent="0.3">
      <c r="A95" s="4"/>
      <c r="B95" s="4"/>
      <c r="C95" s="4" t="s">
        <v>999</v>
      </c>
      <c r="D95" s="4" t="s">
        <v>15</v>
      </c>
      <c r="E95" s="4" t="s">
        <v>332</v>
      </c>
    </row>
    <row r="96" spans="1:6" x14ac:dyDescent="0.3">
      <c r="A96" s="4" t="s">
        <v>339</v>
      </c>
      <c r="B96" s="4" t="s">
        <v>385</v>
      </c>
      <c r="C96" s="4" t="s">
        <v>996</v>
      </c>
      <c r="D96" s="4" t="s">
        <v>1122</v>
      </c>
      <c r="E96" s="4" t="s">
        <v>329</v>
      </c>
      <c r="F96" s="22" t="s">
        <v>151</v>
      </c>
    </row>
    <row r="97" spans="1:6" x14ac:dyDescent="0.3">
      <c r="A97" s="4"/>
      <c r="B97" s="4"/>
      <c r="C97" s="4" t="s">
        <v>997</v>
      </c>
      <c r="D97" s="4" t="s">
        <v>1123</v>
      </c>
      <c r="E97" s="4" t="s">
        <v>331</v>
      </c>
    </row>
    <row r="98" spans="1:6" x14ac:dyDescent="0.3">
      <c r="A98" s="4"/>
      <c r="B98" s="4"/>
      <c r="C98" s="4" t="s">
        <v>998</v>
      </c>
      <c r="D98" s="4" t="s">
        <v>1124</v>
      </c>
      <c r="E98" s="4" t="s">
        <v>329</v>
      </c>
    </row>
    <row r="99" spans="1:6" x14ac:dyDescent="0.3">
      <c r="A99" s="4"/>
      <c r="B99" s="4"/>
      <c r="C99" s="4" t="s">
        <v>999</v>
      </c>
      <c r="D99" s="4" t="s">
        <v>15</v>
      </c>
      <c r="E99" s="4" t="s">
        <v>1069</v>
      </c>
    </row>
    <row r="100" spans="1:6" x14ac:dyDescent="0.3">
      <c r="A100" s="4" t="s">
        <v>340</v>
      </c>
      <c r="B100" s="4" t="s">
        <v>386</v>
      </c>
      <c r="C100" s="4" t="s">
        <v>996</v>
      </c>
      <c r="D100" s="4" t="s">
        <v>1122</v>
      </c>
      <c r="E100" s="4" t="s">
        <v>329</v>
      </c>
      <c r="F100" s="22" t="s">
        <v>152</v>
      </c>
    </row>
    <row r="101" spans="1:6" x14ac:dyDescent="0.3">
      <c r="A101" s="4"/>
      <c r="B101" s="4"/>
      <c r="C101" s="4" t="s">
        <v>997</v>
      </c>
      <c r="D101" s="4" t="s">
        <v>1123</v>
      </c>
      <c r="E101" s="4" t="s">
        <v>329</v>
      </c>
    </row>
    <row r="102" spans="1:6" x14ac:dyDescent="0.3">
      <c r="A102" s="4"/>
      <c r="B102" s="4"/>
      <c r="C102" s="4" t="s">
        <v>998</v>
      </c>
      <c r="D102" s="4" t="s">
        <v>1124</v>
      </c>
      <c r="E102" s="4" t="s">
        <v>329</v>
      </c>
    </row>
    <row r="103" spans="1:6" x14ac:dyDescent="0.3">
      <c r="A103" s="4"/>
      <c r="B103" s="4"/>
      <c r="C103" s="4" t="s">
        <v>999</v>
      </c>
      <c r="D103" s="4" t="s">
        <v>15</v>
      </c>
      <c r="E103" s="4" t="s">
        <v>1074</v>
      </c>
    </row>
    <row r="104" spans="1:6" x14ac:dyDescent="0.3">
      <c r="A104" s="4" t="s">
        <v>341</v>
      </c>
      <c r="B104" s="4" t="s">
        <v>387</v>
      </c>
      <c r="C104" s="4" t="s">
        <v>996</v>
      </c>
      <c r="D104" s="4" t="s">
        <v>1122</v>
      </c>
      <c r="E104" s="4" t="s">
        <v>329</v>
      </c>
      <c r="F104" s="22" t="s">
        <v>153</v>
      </c>
    </row>
    <row r="105" spans="1:6" x14ac:dyDescent="0.3">
      <c r="A105" s="4"/>
      <c r="B105" s="4"/>
      <c r="C105" s="4" t="s">
        <v>997</v>
      </c>
      <c r="D105" s="4" t="s">
        <v>1123</v>
      </c>
      <c r="E105" s="4" t="s">
        <v>331</v>
      </c>
    </row>
    <row r="106" spans="1:6" x14ac:dyDescent="0.3">
      <c r="A106" s="4"/>
      <c r="B106" s="4"/>
      <c r="C106" s="4" t="s">
        <v>998</v>
      </c>
      <c r="D106" s="4" t="s">
        <v>1124</v>
      </c>
      <c r="E106" s="4" t="s">
        <v>329</v>
      </c>
    </row>
    <row r="107" spans="1:6" x14ac:dyDescent="0.3">
      <c r="A107" s="4"/>
      <c r="B107" s="4"/>
      <c r="C107" s="4" t="s">
        <v>999</v>
      </c>
      <c r="D107" s="4" t="s">
        <v>15</v>
      </c>
      <c r="E107" s="4" t="s">
        <v>1069</v>
      </c>
    </row>
    <row r="108" spans="1:6" x14ac:dyDescent="0.3">
      <c r="A108" s="4" t="s">
        <v>342</v>
      </c>
      <c r="B108" s="4" t="s">
        <v>388</v>
      </c>
      <c r="C108" s="4" t="s">
        <v>996</v>
      </c>
      <c r="D108" s="4" t="s">
        <v>1122</v>
      </c>
      <c r="E108" s="4" t="s">
        <v>329</v>
      </c>
      <c r="F108" s="22" t="s">
        <v>154</v>
      </c>
    </row>
    <row r="109" spans="1:6" x14ac:dyDescent="0.3">
      <c r="A109" s="4"/>
      <c r="B109" s="4"/>
      <c r="C109" s="4" t="s">
        <v>997</v>
      </c>
      <c r="D109" s="4" t="s">
        <v>1123</v>
      </c>
      <c r="E109" s="4" t="s">
        <v>331</v>
      </c>
    </row>
    <row r="110" spans="1:6" x14ac:dyDescent="0.3">
      <c r="A110" s="4"/>
      <c r="B110" s="4"/>
      <c r="C110" s="4" t="s">
        <v>998</v>
      </c>
      <c r="D110" s="4" t="s">
        <v>1124</v>
      </c>
      <c r="E110" s="4" t="s">
        <v>329</v>
      </c>
    </row>
    <row r="111" spans="1:6" x14ac:dyDescent="0.3">
      <c r="A111" s="4"/>
      <c r="B111" s="4"/>
      <c r="C111" s="4" t="s">
        <v>999</v>
      </c>
      <c r="D111" s="4" t="s">
        <v>15</v>
      </c>
      <c r="E111" s="4" t="s">
        <v>1069</v>
      </c>
    </row>
    <row r="112" spans="1:6" x14ac:dyDescent="0.3">
      <c r="A112" s="4" t="s">
        <v>128</v>
      </c>
      <c r="B112" s="4" t="s">
        <v>389</v>
      </c>
      <c r="C112" s="4" t="s">
        <v>996</v>
      </c>
      <c r="D112" s="4" t="s">
        <v>1122</v>
      </c>
      <c r="E112" s="4" t="s">
        <v>329</v>
      </c>
      <c r="F112" s="22" t="s">
        <v>155</v>
      </c>
    </row>
    <row r="113" spans="1:6" x14ac:dyDescent="0.3">
      <c r="A113" s="4"/>
      <c r="B113" s="4"/>
      <c r="C113" s="4" t="s">
        <v>997</v>
      </c>
      <c r="D113" s="4" t="s">
        <v>1123</v>
      </c>
      <c r="E113" s="4" t="s">
        <v>331</v>
      </c>
    </row>
    <row r="114" spans="1:6" x14ac:dyDescent="0.3">
      <c r="A114" s="4"/>
      <c r="B114" s="4"/>
      <c r="C114" s="4" t="s">
        <v>998</v>
      </c>
      <c r="D114" s="4" t="s">
        <v>1124</v>
      </c>
      <c r="E114" s="4" t="s">
        <v>329</v>
      </c>
    </row>
    <row r="115" spans="1:6" x14ac:dyDescent="0.3">
      <c r="A115" s="4"/>
      <c r="B115" s="4"/>
      <c r="C115" s="4" t="s">
        <v>999</v>
      </c>
      <c r="D115" s="4" t="s">
        <v>15</v>
      </c>
      <c r="E115" s="4" t="s">
        <v>1072</v>
      </c>
    </row>
    <row r="116" spans="1:6" x14ac:dyDescent="0.3">
      <c r="A116" s="4" t="s">
        <v>134</v>
      </c>
      <c r="B116" s="4" t="s">
        <v>390</v>
      </c>
      <c r="C116" s="4" t="s">
        <v>996</v>
      </c>
      <c r="D116" s="4" t="s">
        <v>1122</v>
      </c>
      <c r="E116" s="4" t="s">
        <v>329</v>
      </c>
      <c r="F116" s="22" t="s">
        <v>156</v>
      </c>
    </row>
    <row r="117" spans="1:6" x14ac:dyDescent="0.3">
      <c r="A117" s="4"/>
      <c r="B117" s="4"/>
      <c r="C117" s="4" t="s">
        <v>997</v>
      </c>
      <c r="D117" s="4" t="s">
        <v>1123</v>
      </c>
      <c r="E117" s="4" t="s">
        <v>331</v>
      </c>
    </row>
    <row r="118" spans="1:6" x14ac:dyDescent="0.3">
      <c r="A118" s="4"/>
      <c r="B118" s="4"/>
      <c r="C118" s="4" t="s">
        <v>998</v>
      </c>
      <c r="D118" s="4" t="s">
        <v>1124</v>
      </c>
      <c r="E118" s="4" t="s">
        <v>329</v>
      </c>
    </row>
    <row r="119" spans="1:6" x14ac:dyDescent="0.3">
      <c r="A119" s="4"/>
      <c r="B119" s="4"/>
      <c r="C119" s="4" t="s">
        <v>999</v>
      </c>
      <c r="D119" s="4" t="s">
        <v>15</v>
      </c>
      <c r="E119" s="4" t="s">
        <v>332</v>
      </c>
    </row>
    <row r="120" spans="1:6" x14ac:dyDescent="0.3">
      <c r="A120" s="4" t="s">
        <v>343</v>
      </c>
      <c r="B120" s="4" t="s">
        <v>391</v>
      </c>
      <c r="C120" s="4" t="s">
        <v>996</v>
      </c>
      <c r="D120" s="4" t="s">
        <v>1122</v>
      </c>
      <c r="E120" s="4" t="s">
        <v>329</v>
      </c>
      <c r="F120" s="22" t="s">
        <v>1014</v>
      </c>
    </row>
    <row r="121" spans="1:6" x14ac:dyDescent="0.3">
      <c r="A121" s="4"/>
      <c r="B121" s="4"/>
      <c r="C121" s="4" t="s">
        <v>997</v>
      </c>
      <c r="D121" s="4" t="s">
        <v>1123</v>
      </c>
      <c r="E121" s="4" t="s">
        <v>331</v>
      </c>
    </row>
    <row r="122" spans="1:6" x14ac:dyDescent="0.3">
      <c r="A122" s="4"/>
      <c r="B122" s="4"/>
      <c r="C122" s="4" t="s">
        <v>998</v>
      </c>
      <c r="D122" s="4" t="s">
        <v>1124</v>
      </c>
      <c r="E122" s="4" t="s">
        <v>329</v>
      </c>
    </row>
    <row r="123" spans="1:6" ht="14.5" thickBot="1" x14ac:dyDescent="0.35">
      <c r="A123" s="76"/>
      <c r="B123" s="76"/>
      <c r="C123" s="76" t="s">
        <v>999</v>
      </c>
      <c r="D123" s="76" t="s">
        <v>15</v>
      </c>
      <c r="E123" s="76" t="s">
        <v>332</v>
      </c>
      <c r="F123" s="75"/>
    </row>
    <row r="124" spans="1:6" ht="14.5" thickTop="1" x14ac:dyDescent="0.3">
      <c r="A124" s="72" t="s">
        <v>344</v>
      </c>
      <c r="B124" s="72" t="s">
        <v>392</v>
      </c>
      <c r="C124" s="72" t="s">
        <v>1000</v>
      </c>
      <c r="D124" s="72" t="s">
        <v>345</v>
      </c>
      <c r="E124" s="72" t="s">
        <v>346</v>
      </c>
    </row>
    <row r="125" spans="1:6" x14ac:dyDescent="0.3">
      <c r="A125" s="4"/>
      <c r="B125" s="4"/>
      <c r="C125" s="4" t="s">
        <v>1001</v>
      </c>
      <c r="D125" s="4" t="s">
        <v>347</v>
      </c>
      <c r="E125" s="4" t="s">
        <v>329</v>
      </c>
    </row>
    <row r="126" spans="1:6" x14ac:dyDescent="0.3">
      <c r="A126" s="4"/>
      <c r="B126" s="4"/>
      <c r="C126" s="4" t="s">
        <v>1002</v>
      </c>
      <c r="D126" s="4" t="s">
        <v>348</v>
      </c>
      <c r="E126" s="4" t="s">
        <v>331</v>
      </c>
    </row>
    <row r="127" spans="1:6" x14ac:dyDescent="0.3">
      <c r="A127" s="4"/>
      <c r="B127" s="4"/>
      <c r="C127" s="4" t="s">
        <v>1004</v>
      </c>
      <c r="D127" s="4" t="s">
        <v>1119</v>
      </c>
      <c r="E127" s="4" t="s">
        <v>1075</v>
      </c>
    </row>
    <row r="128" spans="1:6" x14ac:dyDescent="0.3">
      <c r="A128" s="4"/>
      <c r="B128" s="4"/>
      <c r="C128" s="4" t="s">
        <v>1003</v>
      </c>
      <c r="D128" s="4" t="s">
        <v>27</v>
      </c>
      <c r="E128" s="4" t="s">
        <v>1076</v>
      </c>
    </row>
    <row r="129" spans="1:6" x14ac:dyDescent="0.3">
      <c r="A129" s="4" t="s">
        <v>351</v>
      </c>
      <c r="B129" s="4" t="s">
        <v>393</v>
      </c>
      <c r="C129" s="4" t="s">
        <v>1000</v>
      </c>
      <c r="D129" s="4" t="s">
        <v>345</v>
      </c>
      <c r="E129" s="4" t="s">
        <v>346</v>
      </c>
    </row>
    <row r="130" spans="1:6" x14ac:dyDescent="0.3">
      <c r="A130" s="4"/>
      <c r="B130" s="4"/>
      <c r="C130" s="4" t="s">
        <v>1001</v>
      </c>
      <c r="D130" s="4" t="s">
        <v>347</v>
      </c>
      <c r="E130" s="4" t="s">
        <v>329</v>
      </c>
    </row>
    <row r="131" spans="1:6" x14ac:dyDescent="0.3">
      <c r="A131" s="4"/>
      <c r="B131" s="4"/>
      <c r="C131" s="4" t="s">
        <v>1002</v>
      </c>
      <c r="D131" s="4" t="s">
        <v>348</v>
      </c>
      <c r="E131" s="4" t="s">
        <v>331</v>
      </c>
    </row>
    <row r="132" spans="1:6" x14ac:dyDescent="0.3">
      <c r="A132" s="4"/>
      <c r="B132" s="4"/>
      <c r="C132" s="4" t="s">
        <v>1004</v>
      </c>
      <c r="D132" s="4" t="s">
        <v>1119</v>
      </c>
      <c r="E132" s="4" t="s">
        <v>349</v>
      </c>
    </row>
    <row r="133" spans="1:6" x14ac:dyDescent="0.3">
      <c r="A133" s="4"/>
      <c r="B133" s="4"/>
      <c r="C133" s="4" t="s">
        <v>1003</v>
      </c>
      <c r="D133" s="4" t="s">
        <v>27</v>
      </c>
      <c r="E133" s="4" t="s">
        <v>350</v>
      </c>
    </row>
    <row r="134" spans="1:6" x14ac:dyDescent="0.3">
      <c r="A134" s="4" t="s">
        <v>352</v>
      </c>
      <c r="B134" s="4" t="s">
        <v>394</v>
      </c>
      <c r="C134" s="4" t="s">
        <v>1000</v>
      </c>
      <c r="D134" s="4" t="s">
        <v>345</v>
      </c>
      <c r="E134" s="77" t="s">
        <v>1078</v>
      </c>
      <c r="F134" s="7" t="s">
        <v>1077</v>
      </c>
    </row>
    <row r="135" spans="1:6" x14ac:dyDescent="0.3">
      <c r="A135" s="4"/>
      <c r="B135" s="4"/>
      <c r="C135" s="4" t="s">
        <v>1001</v>
      </c>
      <c r="D135" s="4" t="s">
        <v>347</v>
      </c>
      <c r="E135" s="78" t="s">
        <v>329</v>
      </c>
    </row>
    <row r="136" spans="1:6" x14ac:dyDescent="0.3">
      <c r="A136" s="4"/>
      <c r="B136" s="4"/>
      <c r="C136" s="4" t="s">
        <v>1002</v>
      </c>
      <c r="D136" s="4" t="s">
        <v>348</v>
      </c>
      <c r="E136" s="78" t="s">
        <v>331</v>
      </c>
    </row>
    <row r="137" spans="1:6" x14ac:dyDescent="0.3">
      <c r="A137" s="4"/>
      <c r="B137" s="4"/>
      <c r="C137" s="4" t="s">
        <v>1004</v>
      </c>
      <c r="D137" s="4" t="s">
        <v>1119</v>
      </c>
      <c r="E137" s="78" t="s">
        <v>1079</v>
      </c>
    </row>
    <row r="138" spans="1:6" x14ac:dyDescent="0.3">
      <c r="A138" s="4"/>
      <c r="B138" s="4"/>
      <c r="C138" s="4" t="s">
        <v>1003</v>
      </c>
      <c r="D138" s="4" t="s">
        <v>27</v>
      </c>
      <c r="E138" s="78" t="s">
        <v>1080</v>
      </c>
    </row>
    <row r="139" spans="1:6" x14ac:dyDescent="0.3">
      <c r="A139" s="4" t="s">
        <v>353</v>
      </c>
      <c r="B139" s="4" t="s">
        <v>395</v>
      </c>
      <c r="C139" s="4" t="s">
        <v>1000</v>
      </c>
      <c r="D139" s="4" t="s">
        <v>345</v>
      </c>
      <c r="E139" s="4" t="s">
        <v>346</v>
      </c>
    </row>
    <row r="140" spans="1:6" x14ac:dyDescent="0.3">
      <c r="A140" s="4"/>
      <c r="B140" s="4"/>
      <c r="C140" s="4" t="s">
        <v>1001</v>
      </c>
      <c r="D140" s="4" t="s">
        <v>347</v>
      </c>
      <c r="E140" s="4" t="s">
        <v>329</v>
      </c>
    </row>
    <row r="141" spans="1:6" x14ac:dyDescent="0.3">
      <c r="A141" s="4"/>
      <c r="B141" s="4"/>
      <c r="C141" s="4" t="s">
        <v>1002</v>
      </c>
      <c r="D141" s="4" t="s">
        <v>348</v>
      </c>
      <c r="E141" s="4" t="s">
        <v>331</v>
      </c>
    </row>
    <row r="142" spans="1:6" x14ac:dyDescent="0.3">
      <c r="A142" s="4"/>
      <c r="B142" s="4"/>
      <c r="C142" s="4" t="s">
        <v>1004</v>
      </c>
      <c r="D142" s="4" t="s">
        <v>1119</v>
      </c>
      <c r="E142" s="4" t="s">
        <v>349</v>
      </c>
    </row>
    <row r="143" spans="1:6" x14ac:dyDescent="0.3">
      <c r="A143" s="4"/>
      <c r="B143" s="4"/>
      <c r="C143" s="4" t="s">
        <v>1003</v>
      </c>
      <c r="D143" s="4" t="s">
        <v>27</v>
      </c>
      <c r="E143" s="4" t="s">
        <v>350</v>
      </c>
    </row>
    <row r="144" spans="1:6" x14ac:dyDescent="0.3">
      <c r="A144" s="4" t="s">
        <v>354</v>
      </c>
      <c r="B144" s="4" t="s">
        <v>396</v>
      </c>
      <c r="C144" s="4" t="s">
        <v>1000</v>
      </c>
      <c r="D144" s="4" t="s">
        <v>345</v>
      </c>
      <c r="E144" s="4" t="s">
        <v>346</v>
      </c>
    </row>
    <row r="145" spans="1:5" x14ac:dyDescent="0.3">
      <c r="A145" s="4"/>
      <c r="B145" s="4"/>
      <c r="C145" s="4" t="s">
        <v>1001</v>
      </c>
      <c r="D145" s="4" t="s">
        <v>347</v>
      </c>
      <c r="E145" s="4" t="s">
        <v>329</v>
      </c>
    </row>
    <row r="146" spans="1:5" x14ac:dyDescent="0.3">
      <c r="A146" s="4"/>
      <c r="B146" s="4"/>
      <c r="C146" s="4" t="s">
        <v>1002</v>
      </c>
      <c r="D146" s="4" t="s">
        <v>348</v>
      </c>
      <c r="E146" s="4" t="s">
        <v>331</v>
      </c>
    </row>
    <row r="147" spans="1:5" x14ac:dyDescent="0.3">
      <c r="A147" s="4"/>
      <c r="B147" s="4"/>
      <c r="C147" s="4" t="s">
        <v>1004</v>
      </c>
      <c r="D147" s="4" t="s">
        <v>1119</v>
      </c>
      <c r="E147" s="4" t="s">
        <v>349</v>
      </c>
    </row>
    <row r="148" spans="1:5" x14ac:dyDescent="0.3">
      <c r="A148" s="4"/>
      <c r="B148" s="4"/>
      <c r="C148" s="4" t="s">
        <v>1003</v>
      </c>
      <c r="D148" s="4" t="s">
        <v>27</v>
      </c>
      <c r="E148" s="4" t="s">
        <v>350</v>
      </c>
    </row>
    <row r="149" spans="1:5" x14ac:dyDescent="0.3">
      <c r="A149" s="4" t="s">
        <v>129</v>
      </c>
      <c r="B149" s="4" t="s">
        <v>397</v>
      </c>
      <c r="C149" s="4" t="s">
        <v>1000</v>
      </c>
      <c r="D149" s="4" t="s">
        <v>345</v>
      </c>
      <c r="E149" s="4" t="s">
        <v>346</v>
      </c>
    </row>
    <row r="150" spans="1:5" x14ac:dyDescent="0.3">
      <c r="A150" s="4"/>
      <c r="B150" s="4"/>
      <c r="C150" s="4" t="s">
        <v>1001</v>
      </c>
      <c r="D150" s="4" t="s">
        <v>347</v>
      </c>
      <c r="E150" s="4" t="s">
        <v>329</v>
      </c>
    </row>
    <row r="151" spans="1:5" x14ac:dyDescent="0.3">
      <c r="A151" s="4"/>
      <c r="B151" s="4"/>
      <c r="C151" s="4" t="s">
        <v>1002</v>
      </c>
      <c r="D151" s="4" t="s">
        <v>348</v>
      </c>
      <c r="E151" s="4" t="s">
        <v>331</v>
      </c>
    </row>
    <row r="152" spans="1:5" x14ac:dyDescent="0.3">
      <c r="A152" s="4"/>
      <c r="B152" s="4"/>
      <c r="C152" s="4" t="s">
        <v>1004</v>
      </c>
      <c r="D152" s="4" t="s">
        <v>1119</v>
      </c>
      <c r="E152" s="4" t="s">
        <v>349</v>
      </c>
    </row>
    <row r="153" spans="1:5" x14ac:dyDescent="0.3">
      <c r="A153" s="4"/>
      <c r="B153" s="4"/>
      <c r="C153" s="4" t="s">
        <v>1003</v>
      </c>
      <c r="D153" s="4" t="s">
        <v>27</v>
      </c>
      <c r="E153" s="4" t="s">
        <v>1081</v>
      </c>
    </row>
    <row r="154" spans="1:5" x14ac:dyDescent="0.3">
      <c r="A154" s="4" t="s">
        <v>135</v>
      </c>
      <c r="B154" s="4" t="s">
        <v>398</v>
      </c>
      <c r="C154" s="4" t="s">
        <v>1000</v>
      </c>
      <c r="D154" s="4" t="s">
        <v>345</v>
      </c>
      <c r="E154" s="4" t="s">
        <v>346</v>
      </c>
    </row>
    <row r="155" spans="1:5" x14ac:dyDescent="0.3">
      <c r="A155" s="4"/>
      <c r="B155" s="4"/>
      <c r="C155" s="4" t="s">
        <v>1001</v>
      </c>
      <c r="D155" s="4" t="s">
        <v>347</v>
      </c>
      <c r="E155" s="4" t="s">
        <v>329</v>
      </c>
    </row>
    <row r="156" spans="1:5" x14ac:dyDescent="0.3">
      <c r="A156" s="4"/>
      <c r="B156" s="4"/>
      <c r="C156" s="4" t="s">
        <v>1002</v>
      </c>
      <c r="D156" s="4" t="s">
        <v>348</v>
      </c>
      <c r="E156" s="4" t="s">
        <v>331</v>
      </c>
    </row>
    <row r="157" spans="1:5" x14ac:dyDescent="0.3">
      <c r="A157" s="4"/>
      <c r="B157" s="4"/>
      <c r="C157" s="4" t="s">
        <v>1004</v>
      </c>
      <c r="D157" s="4" t="s">
        <v>1119</v>
      </c>
      <c r="E157" s="4" t="s">
        <v>349</v>
      </c>
    </row>
    <row r="158" spans="1:5" x14ac:dyDescent="0.3">
      <c r="A158" s="4"/>
      <c r="B158" s="4"/>
      <c r="C158" s="4" t="s">
        <v>1003</v>
      </c>
      <c r="D158" s="4" t="s">
        <v>27</v>
      </c>
      <c r="E158" s="4" t="s">
        <v>1082</v>
      </c>
    </row>
    <row r="159" spans="1:5" x14ac:dyDescent="0.3">
      <c r="A159" s="4" t="s">
        <v>355</v>
      </c>
      <c r="B159" s="4" t="s">
        <v>399</v>
      </c>
      <c r="C159" s="4" t="s">
        <v>1000</v>
      </c>
      <c r="D159" s="4" t="s">
        <v>345</v>
      </c>
      <c r="E159" s="4" t="s">
        <v>346</v>
      </c>
    </row>
    <row r="160" spans="1:5" x14ac:dyDescent="0.3">
      <c r="A160" s="4"/>
      <c r="B160" s="4"/>
      <c r="C160" s="4" t="s">
        <v>1001</v>
      </c>
      <c r="D160" s="4" t="s">
        <v>347</v>
      </c>
      <c r="E160" s="4" t="s">
        <v>329</v>
      </c>
    </row>
    <row r="161" spans="1:6" x14ac:dyDescent="0.3">
      <c r="A161" s="4"/>
      <c r="B161" s="4"/>
      <c r="C161" s="4" t="s">
        <v>1002</v>
      </c>
      <c r="D161" s="4" t="s">
        <v>348</v>
      </c>
      <c r="E161" s="4" t="s">
        <v>331</v>
      </c>
    </row>
    <row r="162" spans="1:6" x14ac:dyDescent="0.3">
      <c r="A162" s="4"/>
      <c r="B162" s="4"/>
      <c r="C162" s="4" t="s">
        <v>1004</v>
      </c>
      <c r="D162" s="4" t="s">
        <v>1119</v>
      </c>
      <c r="E162" s="4" t="s">
        <v>349</v>
      </c>
    </row>
    <row r="163" spans="1:6" ht="14.5" thickBot="1" x14ac:dyDescent="0.35">
      <c r="A163" s="76"/>
      <c r="B163" s="76"/>
      <c r="C163" s="76" t="s">
        <v>1003</v>
      </c>
      <c r="D163" s="76" t="s">
        <v>27</v>
      </c>
      <c r="E163" s="76" t="s">
        <v>1082</v>
      </c>
      <c r="F163" s="75"/>
    </row>
    <row r="164" spans="1:6" ht="14.5" thickTop="1" x14ac:dyDescent="0.3">
      <c r="A164" s="72" t="s">
        <v>356</v>
      </c>
      <c r="B164" s="72" t="s">
        <v>400</v>
      </c>
      <c r="C164" s="72" t="s">
        <v>1005</v>
      </c>
      <c r="D164" s="72" t="s">
        <v>357</v>
      </c>
      <c r="E164" s="72" t="s">
        <v>358</v>
      </c>
    </row>
    <row r="165" spans="1:6" x14ac:dyDescent="0.3">
      <c r="A165" s="4"/>
      <c r="B165" s="4"/>
      <c r="C165" s="4" t="s">
        <v>1006</v>
      </c>
      <c r="D165" s="4" t="s">
        <v>18</v>
      </c>
      <c r="E165" s="4" t="s">
        <v>358</v>
      </c>
    </row>
    <row r="166" spans="1:6" x14ac:dyDescent="0.3">
      <c r="A166" s="4" t="s">
        <v>359</v>
      </c>
      <c r="B166" s="4" t="s">
        <v>401</v>
      </c>
      <c r="C166" s="4" t="s">
        <v>1005</v>
      </c>
      <c r="D166" s="4" t="s">
        <v>357</v>
      </c>
      <c r="E166" s="4" t="s">
        <v>358</v>
      </c>
    </row>
    <row r="167" spans="1:6" x14ac:dyDescent="0.3">
      <c r="A167" s="4"/>
      <c r="B167" s="4"/>
      <c r="C167" s="4" t="s">
        <v>1006</v>
      </c>
      <c r="D167" s="4" t="s">
        <v>18</v>
      </c>
      <c r="E167" s="4" t="s">
        <v>358</v>
      </c>
    </row>
    <row r="168" spans="1:6" x14ac:dyDescent="0.3">
      <c r="A168" s="4" t="s">
        <v>360</v>
      </c>
      <c r="B168" s="4" t="s">
        <v>402</v>
      </c>
      <c r="C168" s="4" t="s">
        <v>1005</v>
      </c>
      <c r="D168" s="4" t="s">
        <v>357</v>
      </c>
      <c r="E168" s="77" t="s">
        <v>1083</v>
      </c>
    </row>
    <row r="169" spans="1:6" x14ac:dyDescent="0.3">
      <c r="A169" s="4"/>
      <c r="B169" s="4"/>
      <c r="C169" s="4" t="s">
        <v>1006</v>
      </c>
      <c r="D169" s="4" t="s">
        <v>18</v>
      </c>
      <c r="E169" s="78" t="s">
        <v>1084</v>
      </c>
    </row>
    <row r="170" spans="1:6" x14ac:dyDescent="0.3">
      <c r="A170" s="4" t="s">
        <v>361</v>
      </c>
      <c r="B170" s="4" t="s">
        <v>403</v>
      </c>
      <c r="C170" s="4" t="s">
        <v>1005</v>
      </c>
      <c r="D170" s="4" t="s">
        <v>357</v>
      </c>
      <c r="E170" s="4" t="s">
        <v>358</v>
      </c>
    </row>
    <row r="171" spans="1:6" x14ac:dyDescent="0.3">
      <c r="A171" s="4"/>
      <c r="B171" s="4"/>
      <c r="C171" s="4" t="s">
        <v>1006</v>
      </c>
      <c r="D171" s="4" t="s">
        <v>18</v>
      </c>
      <c r="E171" s="4" t="s">
        <v>358</v>
      </c>
    </row>
    <row r="172" spans="1:6" x14ac:dyDescent="0.3">
      <c r="A172" s="4" t="s">
        <v>362</v>
      </c>
      <c r="B172" s="4" t="s">
        <v>404</v>
      </c>
      <c r="C172" s="4" t="s">
        <v>1005</v>
      </c>
      <c r="D172" s="4" t="s">
        <v>357</v>
      </c>
      <c r="E172" s="4" t="s">
        <v>358</v>
      </c>
    </row>
    <row r="173" spans="1:6" x14ac:dyDescent="0.3">
      <c r="A173" s="4"/>
      <c r="B173" s="4"/>
      <c r="C173" s="4" t="s">
        <v>1006</v>
      </c>
      <c r="D173" s="4" t="s">
        <v>18</v>
      </c>
      <c r="E173" s="4" t="s">
        <v>358</v>
      </c>
    </row>
    <row r="174" spans="1:6" x14ac:dyDescent="0.3">
      <c r="A174" s="4" t="s">
        <v>130</v>
      </c>
      <c r="B174" s="4" t="s">
        <v>405</v>
      </c>
      <c r="C174" s="4" t="s">
        <v>1005</v>
      </c>
      <c r="D174" s="4" t="s">
        <v>357</v>
      </c>
      <c r="E174" s="4" t="s">
        <v>358</v>
      </c>
    </row>
    <row r="175" spans="1:6" x14ac:dyDescent="0.3">
      <c r="A175" s="4"/>
      <c r="B175" s="4"/>
      <c r="C175" s="4" t="s">
        <v>1006</v>
      </c>
      <c r="D175" s="4" t="s">
        <v>18</v>
      </c>
      <c r="E175" s="4" t="s">
        <v>358</v>
      </c>
    </row>
    <row r="176" spans="1:6" x14ac:dyDescent="0.3">
      <c r="A176" s="4" t="s">
        <v>136</v>
      </c>
      <c r="B176" s="4" t="s">
        <v>406</v>
      </c>
      <c r="C176" s="4" t="s">
        <v>1005</v>
      </c>
      <c r="D176" s="4" t="s">
        <v>357</v>
      </c>
      <c r="E176" s="4" t="s">
        <v>358</v>
      </c>
    </row>
    <row r="177" spans="1:6" x14ac:dyDescent="0.3">
      <c r="A177" s="4"/>
      <c r="B177" s="4"/>
      <c r="C177" s="4" t="s">
        <v>1006</v>
      </c>
      <c r="D177" s="4" t="s">
        <v>18</v>
      </c>
      <c r="E177" s="4" t="s">
        <v>358</v>
      </c>
    </row>
    <row r="178" spans="1:6" x14ac:dyDescent="0.3">
      <c r="A178" s="4" t="s">
        <v>363</v>
      </c>
      <c r="B178" s="4" t="s">
        <v>407</v>
      </c>
      <c r="C178" s="4" t="s">
        <v>1005</v>
      </c>
      <c r="D178" s="4" t="s">
        <v>357</v>
      </c>
      <c r="E178" s="4" t="s">
        <v>358</v>
      </c>
    </row>
    <row r="179" spans="1:6" ht="14.5" thickBot="1" x14ac:dyDescent="0.35">
      <c r="A179" s="76"/>
      <c r="B179" s="76"/>
      <c r="C179" s="76" t="s">
        <v>1006</v>
      </c>
      <c r="D179" s="76" t="s">
        <v>18</v>
      </c>
      <c r="E179" s="76" t="s">
        <v>358</v>
      </c>
      <c r="F179" s="75"/>
    </row>
    <row r="180" spans="1:6" ht="14.5" thickTop="1" x14ac:dyDescent="0.3">
      <c r="A180" s="72" t="s">
        <v>364</v>
      </c>
      <c r="B180" s="72" t="s">
        <v>408</v>
      </c>
      <c r="C180" s="72" t="s">
        <v>1007</v>
      </c>
      <c r="D180" s="72" t="s">
        <v>345</v>
      </c>
      <c r="E180" s="72" t="s">
        <v>329</v>
      </c>
    </row>
    <row r="181" spans="1:6" x14ac:dyDescent="0.3">
      <c r="A181" s="4"/>
      <c r="B181" s="4"/>
      <c r="C181" s="4" t="s">
        <v>1008</v>
      </c>
      <c r="D181" s="4" t="s">
        <v>347</v>
      </c>
      <c r="E181" s="4" t="s">
        <v>331</v>
      </c>
    </row>
    <row r="182" spans="1:6" x14ac:dyDescent="0.3">
      <c r="A182" s="4"/>
      <c r="B182" s="4"/>
      <c r="C182" s="4" t="s">
        <v>1009</v>
      </c>
      <c r="D182" s="4" t="s">
        <v>348</v>
      </c>
      <c r="E182" s="4" t="s">
        <v>331</v>
      </c>
    </row>
    <row r="183" spans="1:6" x14ac:dyDescent="0.3">
      <c r="A183" s="4"/>
      <c r="B183" s="4"/>
      <c r="C183" s="4" t="s">
        <v>1010</v>
      </c>
      <c r="D183" s="4" t="s">
        <v>1119</v>
      </c>
      <c r="E183" s="4" t="s">
        <v>1075</v>
      </c>
    </row>
    <row r="184" spans="1:6" x14ac:dyDescent="0.3">
      <c r="A184" s="4"/>
      <c r="B184" s="4"/>
      <c r="C184" s="4" t="s">
        <v>1011</v>
      </c>
      <c r="D184" s="4" t="s">
        <v>27</v>
      </c>
      <c r="E184" s="4" t="s">
        <v>1076</v>
      </c>
    </row>
    <row r="185" spans="1:6" x14ac:dyDescent="0.3">
      <c r="A185" s="4" t="s">
        <v>365</v>
      </c>
      <c r="B185" s="4" t="s">
        <v>409</v>
      </c>
      <c r="C185" s="4" t="s">
        <v>1007</v>
      </c>
      <c r="D185" s="4" t="s">
        <v>345</v>
      </c>
      <c r="E185" s="4" t="s">
        <v>329</v>
      </c>
    </row>
    <row r="186" spans="1:6" x14ac:dyDescent="0.3">
      <c r="A186" s="4"/>
      <c r="B186" s="4"/>
      <c r="C186" s="4" t="s">
        <v>1008</v>
      </c>
      <c r="D186" s="4" t="s">
        <v>347</v>
      </c>
      <c r="E186" s="4" t="s">
        <v>331</v>
      </c>
    </row>
    <row r="187" spans="1:6" x14ac:dyDescent="0.3">
      <c r="A187" s="4"/>
      <c r="B187" s="4"/>
      <c r="C187" s="4" t="s">
        <v>1009</v>
      </c>
      <c r="D187" s="4" t="s">
        <v>348</v>
      </c>
      <c r="E187" s="4" t="s">
        <v>331</v>
      </c>
    </row>
    <row r="188" spans="1:6" x14ac:dyDescent="0.3">
      <c r="A188" s="4"/>
      <c r="B188" s="4"/>
      <c r="C188" s="4" t="s">
        <v>1010</v>
      </c>
      <c r="D188" s="4" t="s">
        <v>1119</v>
      </c>
      <c r="E188" s="4" t="s">
        <v>349</v>
      </c>
    </row>
    <row r="189" spans="1:6" x14ac:dyDescent="0.3">
      <c r="A189" s="4"/>
      <c r="B189" s="4"/>
      <c r="C189" s="4" t="s">
        <v>1011</v>
      </c>
      <c r="D189" s="4" t="s">
        <v>27</v>
      </c>
      <c r="E189" s="4" t="s">
        <v>350</v>
      </c>
    </row>
    <row r="190" spans="1:6" x14ac:dyDescent="0.3">
      <c r="A190" s="4" t="s">
        <v>366</v>
      </c>
      <c r="B190" s="4" t="s">
        <v>410</v>
      </c>
      <c r="C190" s="4" t="s">
        <v>1007</v>
      </c>
      <c r="D190" s="4" t="s">
        <v>345</v>
      </c>
      <c r="E190" s="4" t="s">
        <v>329</v>
      </c>
      <c r="F190" s="7" t="s">
        <v>1085</v>
      </c>
    </row>
    <row r="191" spans="1:6" x14ac:dyDescent="0.3">
      <c r="A191" s="4"/>
      <c r="B191" s="4"/>
      <c r="C191" s="4" t="s">
        <v>1008</v>
      </c>
      <c r="D191" s="4" t="s">
        <v>347</v>
      </c>
      <c r="E191" s="64" t="s">
        <v>329</v>
      </c>
    </row>
    <row r="192" spans="1:6" x14ac:dyDescent="0.3">
      <c r="A192" s="4"/>
      <c r="B192" s="4"/>
      <c r="C192" s="4" t="s">
        <v>1009</v>
      </c>
      <c r="D192" s="4" t="s">
        <v>348</v>
      </c>
      <c r="E192" s="4" t="s">
        <v>331</v>
      </c>
    </row>
    <row r="193" spans="1:5" x14ac:dyDescent="0.3">
      <c r="A193" s="4"/>
      <c r="B193" s="4"/>
      <c r="C193" s="4" t="s">
        <v>1010</v>
      </c>
      <c r="D193" s="4" t="s">
        <v>1119</v>
      </c>
      <c r="E193" s="4" t="s">
        <v>349</v>
      </c>
    </row>
    <row r="194" spans="1:5" x14ac:dyDescent="0.3">
      <c r="A194" s="4"/>
      <c r="B194" s="4"/>
      <c r="C194" s="4" t="s">
        <v>1011</v>
      </c>
      <c r="D194" s="4" t="s">
        <v>27</v>
      </c>
      <c r="E194" s="77" t="s">
        <v>1080</v>
      </c>
    </row>
    <row r="195" spans="1:5" x14ac:dyDescent="0.3">
      <c r="A195" s="4" t="s">
        <v>367</v>
      </c>
      <c r="B195" s="4" t="s">
        <v>411</v>
      </c>
      <c r="C195" s="4" t="s">
        <v>1007</v>
      </c>
      <c r="D195" s="4" t="s">
        <v>345</v>
      </c>
      <c r="E195" s="4" t="s">
        <v>329</v>
      </c>
    </row>
    <row r="196" spans="1:5" x14ac:dyDescent="0.3">
      <c r="A196" s="4"/>
      <c r="B196" s="4"/>
      <c r="C196" s="4" t="s">
        <v>1008</v>
      </c>
      <c r="D196" s="4" t="s">
        <v>347</v>
      </c>
      <c r="E196" s="4" t="s">
        <v>331</v>
      </c>
    </row>
    <row r="197" spans="1:5" x14ac:dyDescent="0.3">
      <c r="A197" s="4"/>
      <c r="B197" s="4"/>
      <c r="C197" s="4" t="s">
        <v>1009</v>
      </c>
      <c r="D197" s="4" t="s">
        <v>348</v>
      </c>
      <c r="E197" s="4" t="s">
        <v>331</v>
      </c>
    </row>
    <row r="198" spans="1:5" x14ac:dyDescent="0.3">
      <c r="A198" s="4"/>
      <c r="B198" s="4"/>
      <c r="C198" s="4" t="s">
        <v>1010</v>
      </c>
      <c r="D198" s="4" t="s">
        <v>1119</v>
      </c>
      <c r="E198" s="4" t="s">
        <v>349</v>
      </c>
    </row>
    <row r="199" spans="1:5" x14ac:dyDescent="0.3">
      <c r="A199" s="4"/>
      <c r="B199" s="4"/>
      <c r="C199" s="4" t="s">
        <v>1011</v>
      </c>
      <c r="D199" s="4" t="s">
        <v>27</v>
      </c>
      <c r="E199" s="4" t="s">
        <v>350</v>
      </c>
    </row>
    <row r="200" spans="1:5" x14ac:dyDescent="0.3">
      <c r="A200" s="4" t="s">
        <v>368</v>
      </c>
      <c r="B200" s="4" t="s">
        <v>412</v>
      </c>
      <c r="C200" s="4" t="s">
        <v>1007</v>
      </c>
      <c r="D200" s="4" t="s">
        <v>345</v>
      </c>
      <c r="E200" s="4" t="s">
        <v>329</v>
      </c>
    </row>
    <row r="201" spans="1:5" x14ac:dyDescent="0.3">
      <c r="A201" s="4"/>
      <c r="B201" s="4"/>
      <c r="C201" s="4" t="s">
        <v>1008</v>
      </c>
      <c r="D201" s="4" t="s">
        <v>347</v>
      </c>
      <c r="E201" s="4" t="s">
        <v>331</v>
      </c>
    </row>
    <row r="202" spans="1:5" x14ac:dyDescent="0.3">
      <c r="A202" s="4"/>
      <c r="B202" s="4"/>
      <c r="C202" s="4" t="s">
        <v>1009</v>
      </c>
      <c r="D202" s="4" t="s">
        <v>348</v>
      </c>
      <c r="E202" s="4" t="s">
        <v>331</v>
      </c>
    </row>
    <row r="203" spans="1:5" x14ac:dyDescent="0.3">
      <c r="A203" s="4"/>
      <c r="B203" s="4"/>
      <c r="C203" s="4" t="s">
        <v>1010</v>
      </c>
      <c r="D203" s="4" t="s">
        <v>1119</v>
      </c>
      <c r="E203" s="4" t="s">
        <v>349</v>
      </c>
    </row>
    <row r="204" spans="1:5" x14ac:dyDescent="0.3">
      <c r="A204" s="4"/>
      <c r="B204" s="4"/>
      <c r="C204" s="4" t="s">
        <v>1011</v>
      </c>
      <c r="D204" s="4" t="s">
        <v>27</v>
      </c>
      <c r="E204" s="4" t="s">
        <v>1086</v>
      </c>
    </row>
    <row r="205" spans="1:5" x14ac:dyDescent="0.3">
      <c r="A205" s="4" t="s">
        <v>131</v>
      </c>
      <c r="B205" s="4" t="s">
        <v>413</v>
      </c>
      <c r="C205" s="4" t="s">
        <v>1007</v>
      </c>
      <c r="D205" s="4" t="s">
        <v>345</v>
      </c>
      <c r="E205" s="4" t="s">
        <v>329</v>
      </c>
    </row>
    <row r="206" spans="1:5" x14ac:dyDescent="0.3">
      <c r="A206" s="4"/>
      <c r="B206" s="4"/>
      <c r="C206" s="4" t="s">
        <v>1008</v>
      </c>
      <c r="D206" s="4" t="s">
        <v>347</v>
      </c>
      <c r="E206" s="4" t="s">
        <v>1073</v>
      </c>
    </row>
    <row r="207" spans="1:5" x14ac:dyDescent="0.3">
      <c r="A207" s="4"/>
      <c r="B207" s="4"/>
      <c r="C207" s="4" t="s">
        <v>1009</v>
      </c>
      <c r="D207" s="4" t="s">
        <v>348</v>
      </c>
      <c r="E207" s="4" t="s">
        <v>331</v>
      </c>
    </row>
    <row r="208" spans="1:5" x14ac:dyDescent="0.3">
      <c r="A208" s="4"/>
      <c r="B208" s="4"/>
      <c r="C208" s="4" t="s">
        <v>1010</v>
      </c>
      <c r="D208" s="4" t="s">
        <v>1119</v>
      </c>
      <c r="E208" s="4" t="s">
        <v>349</v>
      </c>
    </row>
    <row r="209" spans="1:6" x14ac:dyDescent="0.3">
      <c r="A209" s="4"/>
      <c r="B209" s="4"/>
      <c r="C209" s="4" t="s">
        <v>1011</v>
      </c>
      <c r="D209" s="4" t="s">
        <v>27</v>
      </c>
      <c r="E209" s="4" t="s">
        <v>1087</v>
      </c>
    </row>
    <row r="210" spans="1:6" x14ac:dyDescent="0.3">
      <c r="A210" s="4" t="s">
        <v>137</v>
      </c>
      <c r="B210" s="4" t="s">
        <v>414</v>
      </c>
      <c r="C210" s="4" t="s">
        <v>1007</v>
      </c>
      <c r="D210" s="4" t="s">
        <v>345</v>
      </c>
      <c r="E210" s="4" t="s">
        <v>329</v>
      </c>
    </row>
    <row r="211" spans="1:6" x14ac:dyDescent="0.3">
      <c r="A211" s="4"/>
      <c r="B211" s="4"/>
      <c r="C211" s="4" t="s">
        <v>1008</v>
      </c>
      <c r="D211" s="4" t="s">
        <v>347</v>
      </c>
      <c r="E211" s="4" t="s">
        <v>331</v>
      </c>
    </row>
    <row r="212" spans="1:6" x14ac:dyDescent="0.3">
      <c r="A212" s="4"/>
      <c r="B212" s="4"/>
      <c r="C212" s="4" t="s">
        <v>1009</v>
      </c>
      <c r="D212" s="4" t="s">
        <v>348</v>
      </c>
      <c r="E212" s="4" t="s">
        <v>331</v>
      </c>
    </row>
    <row r="213" spans="1:6" x14ac:dyDescent="0.3">
      <c r="A213" s="4"/>
      <c r="B213" s="4"/>
      <c r="C213" s="4" t="s">
        <v>1010</v>
      </c>
      <c r="D213" s="4" t="s">
        <v>1119</v>
      </c>
      <c r="E213" s="4" t="s">
        <v>349</v>
      </c>
    </row>
    <row r="214" spans="1:6" x14ac:dyDescent="0.3">
      <c r="A214" s="4"/>
      <c r="B214" s="4"/>
      <c r="C214" s="4" t="s">
        <v>1011</v>
      </c>
      <c r="D214" s="4" t="s">
        <v>27</v>
      </c>
      <c r="E214" s="4" t="s">
        <v>1088</v>
      </c>
    </row>
    <row r="215" spans="1:6" x14ac:dyDescent="0.3">
      <c r="A215" s="4" t="s">
        <v>369</v>
      </c>
      <c r="B215" s="4" t="s">
        <v>415</v>
      </c>
      <c r="C215" s="4" t="s">
        <v>1007</v>
      </c>
      <c r="D215" s="4" t="s">
        <v>345</v>
      </c>
      <c r="E215" s="4" t="s">
        <v>329</v>
      </c>
    </row>
    <row r="216" spans="1:6" x14ac:dyDescent="0.3">
      <c r="A216" s="4"/>
      <c r="B216" s="4"/>
      <c r="C216" s="4" t="s">
        <v>1008</v>
      </c>
      <c r="D216" s="4" t="s">
        <v>347</v>
      </c>
      <c r="E216" s="4" t="s">
        <v>331</v>
      </c>
    </row>
    <row r="217" spans="1:6" x14ac:dyDescent="0.3">
      <c r="A217" s="4"/>
      <c r="B217" s="4"/>
      <c r="C217" s="4" t="s">
        <v>1009</v>
      </c>
      <c r="D217" s="4" t="s">
        <v>348</v>
      </c>
      <c r="E217" s="4" t="s">
        <v>331</v>
      </c>
    </row>
    <row r="218" spans="1:6" x14ac:dyDescent="0.3">
      <c r="A218" s="4"/>
      <c r="B218" s="4"/>
      <c r="C218" s="4" t="s">
        <v>1010</v>
      </c>
      <c r="D218" s="4" t="s">
        <v>1119</v>
      </c>
      <c r="E218" s="4" t="s">
        <v>349</v>
      </c>
    </row>
    <row r="219" spans="1:6" ht="14.5" thickBot="1" x14ac:dyDescent="0.35">
      <c r="A219" s="76"/>
      <c r="B219" s="76"/>
      <c r="C219" s="76" t="s">
        <v>1011</v>
      </c>
      <c r="D219" s="4" t="s">
        <v>27</v>
      </c>
      <c r="E219" s="76" t="s">
        <v>1087</v>
      </c>
      <c r="F219" s="75"/>
    </row>
    <row r="220" spans="1:6" ht="14.5" thickTop="1" x14ac:dyDescent="0.3">
      <c r="A220" s="72" t="s">
        <v>370</v>
      </c>
      <c r="B220" s="72" t="s">
        <v>416</v>
      </c>
      <c r="C220" s="72" t="s">
        <v>1012</v>
      </c>
      <c r="D220" s="72" t="s">
        <v>357</v>
      </c>
      <c r="E220" s="72" t="s">
        <v>358</v>
      </c>
    </row>
    <row r="221" spans="1:6" x14ac:dyDescent="0.3">
      <c r="A221" s="4"/>
      <c r="B221" s="4"/>
      <c r="C221" s="4" t="s">
        <v>1013</v>
      </c>
      <c r="D221" s="4" t="s">
        <v>18</v>
      </c>
      <c r="E221" s="4" t="s">
        <v>358</v>
      </c>
    </row>
    <row r="222" spans="1:6" x14ac:dyDescent="0.3">
      <c r="A222" s="4" t="s">
        <v>371</v>
      </c>
      <c r="B222" s="4" t="s">
        <v>417</v>
      </c>
      <c r="C222" s="4" t="s">
        <v>1012</v>
      </c>
      <c r="D222" s="4" t="s">
        <v>357</v>
      </c>
      <c r="E222" s="4" t="s">
        <v>358</v>
      </c>
    </row>
    <row r="223" spans="1:6" x14ac:dyDescent="0.3">
      <c r="A223" s="4"/>
      <c r="B223" s="4"/>
      <c r="C223" s="4" t="s">
        <v>1013</v>
      </c>
      <c r="D223" s="4" t="s">
        <v>18</v>
      </c>
      <c r="E223" s="4" t="s">
        <v>358</v>
      </c>
    </row>
    <row r="224" spans="1:6" x14ac:dyDescent="0.3">
      <c r="A224" s="4" t="s">
        <v>372</v>
      </c>
      <c r="B224" s="4" t="s">
        <v>418</v>
      </c>
      <c r="C224" s="4" t="s">
        <v>1012</v>
      </c>
      <c r="D224" s="4" t="s">
        <v>357</v>
      </c>
      <c r="E224" s="77" t="s">
        <v>1089</v>
      </c>
    </row>
    <row r="225" spans="1:5" x14ac:dyDescent="0.3">
      <c r="A225" s="4"/>
      <c r="B225" s="4"/>
      <c r="C225" s="4" t="s">
        <v>1013</v>
      </c>
      <c r="D225" s="4" t="s">
        <v>18</v>
      </c>
      <c r="E225" s="78" t="s">
        <v>1090</v>
      </c>
    </row>
    <row r="226" spans="1:5" x14ac:dyDescent="0.3">
      <c r="A226" s="4" t="s">
        <v>373</v>
      </c>
      <c r="B226" s="4" t="s">
        <v>419</v>
      </c>
      <c r="C226" s="4" t="s">
        <v>1012</v>
      </c>
      <c r="D226" s="4" t="s">
        <v>357</v>
      </c>
      <c r="E226" s="4" t="s">
        <v>358</v>
      </c>
    </row>
    <row r="227" spans="1:5" x14ac:dyDescent="0.3">
      <c r="A227" s="4"/>
      <c r="B227" s="4"/>
      <c r="C227" s="4" t="s">
        <v>1013</v>
      </c>
      <c r="D227" s="4" t="s">
        <v>18</v>
      </c>
      <c r="E227" s="4" t="s">
        <v>358</v>
      </c>
    </row>
    <row r="228" spans="1:5" x14ac:dyDescent="0.3">
      <c r="A228" s="4" t="s">
        <v>374</v>
      </c>
      <c r="B228" s="4" t="s">
        <v>420</v>
      </c>
      <c r="C228" s="4" t="s">
        <v>1012</v>
      </c>
      <c r="D228" s="4" t="s">
        <v>357</v>
      </c>
      <c r="E228" s="4" t="s">
        <v>358</v>
      </c>
    </row>
    <row r="229" spans="1:5" x14ac:dyDescent="0.3">
      <c r="A229" s="4"/>
      <c r="B229" s="4"/>
      <c r="C229" s="4" t="s">
        <v>1013</v>
      </c>
      <c r="D229" s="4" t="s">
        <v>18</v>
      </c>
      <c r="E229" s="4" t="s">
        <v>358</v>
      </c>
    </row>
    <row r="230" spans="1:5" x14ac:dyDescent="0.3">
      <c r="A230" s="4" t="s">
        <v>132</v>
      </c>
      <c r="B230" s="4" t="s">
        <v>421</v>
      </c>
      <c r="C230" s="4" t="s">
        <v>1012</v>
      </c>
      <c r="D230" s="4" t="s">
        <v>357</v>
      </c>
      <c r="E230" s="4" t="s">
        <v>358</v>
      </c>
    </row>
    <row r="231" spans="1:5" x14ac:dyDescent="0.3">
      <c r="A231" s="4"/>
      <c r="B231" s="4"/>
      <c r="C231" s="4" t="s">
        <v>1013</v>
      </c>
      <c r="D231" s="4" t="s">
        <v>18</v>
      </c>
      <c r="E231" s="4" t="s">
        <v>358</v>
      </c>
    </row>
    <row r="232" spans="1:5" x14ac:dyDescent="0.3">
      <c r="A232" s="4" t="s">
        <v>138</v>
      </c>
      <c r="B232" s="4" t="s">
        <v>422</v>
      </c>
      <c r="C232" s="4" t="s">
        <v>1012</v>
      </c>
      <c r="D232" s="4" t="s">
        <v>357</v>
      </c>
      <c r="E232" s="4" t="s">
        <v>358</v>
      </c>
    </row>
    <row r="233" spans="1:5" x14ac:dyDescent="0.3">
      <c r="A233" s="4"/>
      <c r="B233" s="4"/>
      <c r="C233" s="4" t="s">
        <v>1013</v>
      </c>
      <c r="D233" s="4" t="s">
        <v>18</v>
      </c>
      <c r="E233" s="4" t="s">
        <v>358</v>
      </c>
    </row>
    <row r="234" spans="1:5" x14ac:dyDescent="0.3">
      <c r="A234" s="4" t="s">
        <v>375</v>
      </c>
      <c r="B234" s="4" t="s">
        <v>423</v>
      </c>
      <c r="C234" s="4" t="s">
        <v>1012</v>
      </c>
      <c r="D234" s="4" t="s">
        <v>357</v>
      </c>
      <c r="E234" s="4" t="s">
        <v>358</v>
      </c>
    </row>
    <row r="235" spans="1:5" x14ac:dyDescent="0.3">
      <c r="A235" s="4"/>
      <c r="B235" s="4"/>
      <c r="C235" s="4" t="s">
        <v>1013</v>
      </c>
      <c r="D235" s="4" t="s">
        <v>18</v>
      </c>
      <c r="E235" s="4" t="s">
        <v>358</v>
      </c>
    </row>
  </sheetData>
  <mergeCells count="1">
    <mergeCell ref="F27:F30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0"/>
  <sheetViews>
    <sheetView zoomScaleNormal="100" workbookViewId="0">
      <selection activeCell="B13" sqref="B13"/>
    </sheetView>
  </sheetViews>
  <sheetFormatPr defaultRowHeight="14" x14ac:dyDescent="0.3"/>
  <cols>
    <col min="1" max="1" width="30.33203125" customWidth="1"/>
    <col min="2" max="2" width="24.58203125" customWidth="1"/>
    <col min="3" max="3" width="23.33203125" customWidth="1"/>
    <col min="4" max="4" width="7.58203125" customWidth="1"/>
    <col min="5" max="5" width="12.58203125" style="1" customWidth="1"/>
    <col min="6" max="6" width="27.75" customWidth="1"/>
    <col min="7" max="7" width="35.83203125" customWidth="1"/>
  </cols>
  <sheetData>
    <row r="1" spans="1:7" x14ac:dyDescent="0.3">
      <c r="A1" s="13" t="s">
        <v>0</v>
      </c>
      <c r="B1" s="13" t="s">
        <v>280</v>
      </c>
      <c r="C1" s="13"/>
      <c r="D1" s="13"/>
      <c r="E1" s="14"/>
      <c r="F1" s="14"/>
    </row>
    <row r="2" spans="1:7" x14ac:dyDescent="0.3">
      <c r="A2" s="13" t="s">
        <v>1</v>
      </c>
      <c r="B2" s="13" t="s">
        <v>100</v>
      </c>
      <c r="C2" s="13"/>
      <c r="D2" s="13"/>
      <c r="E2" s="14"/>
      <c r="F2" s="14"/>
    </row>
    <row r="3" spans="1:7" x14ac:dyDescent="0.3">
      <c r="A3" s="13" t="s">
        <v>2</v>
      </c>
      <c r="B3" s="13" t="s">
        <v>3</v>
      </c>
      <c r="C3" s="13" t="s">
        <v>5</v>
      </c>
      <c r="D3" s="13" t="s">
        <v>6</v>
      </c>
      <c r="E3" s="14" t="s">
        <v>4</v>
      </c>
      <c r="F3" s="88" t="s">
        <v>1118</v>
      </c>
    </row>
    <row r="4" spans="1:7" x14ac:dyDescent="0.3">
      <c r="A4" s="38" t="s">
        <v>111</v>
      </c>
      <c r="B4" s="39" t="s">
        <v>274</v>
      </c>
      <c r="C4" s="39" t="s">
        <v>184</v>
      </c>
      <c r="D4" s="39" t="s">
        <v>16</v>
      </c>
      <c r="E4" s="40" t="s">
        <v>21</v>
      </c>
      <c r="G4" s="47" t="s">
        <v>286</v>
      </c>
    </row>
    <row r="5" spans="1:7" x14ac:dyDescent="0.3">
      <c r="A5" s="41" t="s">
        <v>281</v>
      </c>
      <c r="B5" s="39" t="s">
        <v>282</v>
      </c>
      <c r="C5" s="39" t="s">
        <v>283</v>
      </c>
      <c r="D5" s="39" t="s">
        <v>284</v>
      </c>
      <c r="E5" s="40" t="s">
        <v>285</v>
      </c>
      <c r="G5" s="47" t="s">
        <v>287</v>
      </c>
    </row>
    <row r="6" spans="1:7" x14ac:dyDescent="0.3">
      <c r="A6" s="42" t="s">
        <v>140</v>
      </c>
      <c r="B6" s="42" t="s">
        <v>275</v>
      </c>
      <c r="C6" s="42" t="s">
        <v>139</v>
      </c>
      <c r="D6" s="42" t="s">
        <v>17</v>
      </c>
      <c r="E6" s="83" t="str">
        <f>"0x"&amp;DEC2HEX(umctl2_timing!B12)</f>
        <v>0x11</v>
      </c>
      <c r="G6" s="105" t="s">
        <v>288</v>
      </c>
    </row>
    <row r="7" spans="1:7" x14ac:dyDescent="0.3">
      <c r="A7" s="42" t="s">
        <v>141</v>
      </c>
      <c r="B7" s="42" t="s">
        <v>276</v>
      </c>
      <c r="C7" s="42" t="s">
        <v>142</v>
      </c>
      <c r="D7" s="42" t="s">
        <v>20</v>
      </c>
      <c r="E7" s="84" t="s">
        <v>21</v>
      </c>
      <c r="G7" s="106"/>
    </row>
    <row r="8" spans="1:7" x14ac:dyDescent="0.3">
      <c r="A8" s="42" t="s">
        <v>143</v>
      </c>
      <c r="B8" s="42" t="s">
        <v>277</v>
      </c>
      <c r="C8" s="42" t="s">
        <v>144</v>
      </c>
      <c r="D8" s="42" t="s">
        <v>20</v>
      </c>
      <c r="E8" s="83" t="str">
        <f>"0x"&amp;DEC2HEX(umctl2_timing!B16)</f>
        <v>0xC</v>
      </c>
      <c r="G8" s="106"/>
    </row>
    <row r="9" spans="1:7" x14ac:dyDescent="0.3">
      <c r="A9" s="56" t="s">
        <v>885</v>
      </c>
      <c r="B9" s="56" t="s">
        <v>886</v>
      </c>
      <c r="C9" s="56" t="s">
        <v>887</v>
      </c>
      <c r="D9" s="56" t="s">
        <v>888</v>
      </c>
      <c r="E9" s="90" t="s">
        <v>889</v>
      </c>
      <c r="F9" s="80" t="s">
        <v>1110</v>
      </c>
      <c r="G9" s="106"/>
    </row>
    <row r="10" spans="1:7" ht="28" x14ac:dyDescent="0.3">
      <c r="A10" s="42" t="s">
        <v>180</v>
      </c>
      <c r="B10" s="42" t="s">
        <v>278</v>
      </c>
      <c r="C10" s="42" t="s">
        <v>145</v>
      </c>
      <c r="D10" s="42" t="s">
        <v>12</v>
      </c>
      <c r="E10" s="45" t="s">
        <v>863</v>
      </c>
      <c r="F10" s="2" t="s">
        <v>178</v>
      </c>
      <c r="G10" s="106"/>
    </row>
    <row r="11" spans="1:7" ht="56.15" customHeight="1" x14ac:dyDescent="0.3">
      <c r="A11" s="42" t="s">
        <v>181</v>
      </c>
      <c r="B11" s="42" t="s">
        <v>279</v>
      </c>
      <c r="C11" s="42" t="s">
        <v>146</v>
      </c>
      <c r="D11" s="42" t="s">
        <v>120</v>
      </c>
      <c r="E11" s="45" t="s">
        <v>864</v>
      </c>
      <c r="F11" s="2" t="s">
        <v>179</v>
      </c>
      <c r="G11" s="106"/>
    </row>
    <row r="12" spans="1:7" ht="16" customHeight="1" x14ac:dyDescent="0.3">
      <c r="A12" s="59" t="s">
        <v>907</v>
      </c>
      <c r="B12" s="59" t="s">
        <v>305</v>
      </c>
      <c r="C12" s="59" t="s">
        <v>1015</v>
      </c>
      <c r="D12" s="59" t="s">
        <v>1016</v>
      </c>
      <c r="E12" s="85" t="s">
        <v>1017</v>
      </c>
      <c r="F12" s="107" t="s">
        <v>1068</v>
      </c>
      <c r="G12" s="106"/>
    </row>
    <row r="13" spans="1:7" ht="16" customHeight="1" x14ac:dyDescent="0.3">
      <c r="A13" s="59" t="s">
        <v>907</v>
      </c>
      <c r="B13" s="59" t="s">
        <v>908</v>
      </c>
      <c r="C13" s="59" t="s">
        <v>1018</v>
      </c>
      <c r="D13" s="59" t="s">
        <v>1016</v>
      </c>
      <c r="E13" s="85" t="s">
        <v>1019</v>
      </c>
      <c r="F13" s="107"/>
      <c r="G13" s="106"/>
    </row>
    <row r="14" spans="1:7" ht="16" customHeight="1" x14ac:dyDescent="0.3">
      <c r="A14" s="59" t="s">
        <v>907</v>
      </c>
      <c r="B14" s="59" t="s">
        <v>1020</v>
      </c>
      <c r="C14" s="59" t="s">
        <v>1021</v>
      </c>
      <c r="D14" s="59" t="s">
        <v>1022</v>
      </c>
      <c r="E14" s="85" t="s">
        <v>1023</v>
      </c>
      <c r="F14" s="107"/>
      <c r="G14" s="106"/>
    </row>
    <row r="15" spans="1:7" ht="16" customHeight="1" x14ac:dyDescent="0.3">
      <c r="A15" s="59" t="s">
        <v>907</v>
      </c>
      <c r="B15" s="59" t="s">
        <v>909</v>
      </c>
      <c r="C15" s="59" t="s">
        <v>1024</v>
      </c>
      <c r="D15" s="59" t="s">
        <v>1016</v>
      </c>
      <c r="E15" s="85" t="s">
        <v>1025</v>
      </c>
      <c r="F15" s="107"/>
      <c r="G15" s="106"/>
    </row>
    <row r="16" spans="1:7" ht="16" customHeight="1" x14ac:dyDescent="0.3">
      <c r="A16" s="59" t="s">
        <v>1026</v>
      </c>
      <c r="B16" s="59" t="s">
        <v>910</v>
      </c>
      <c r="C16" s="59" t="s">
        <v>1027</v>
      </c>
      <c r="D16" s="59" t="s">
        <v>1016</v>
      </c>
      <c r="E16" s="85" t="s">
        <v>1028</v>
      </c>
      <c r="F16" s="107"/>
      <c r="G16" s="106"/>
    </row>
    <row r="17" spans="1:7" ht="16" customHeight="1" x14ac:dyDescent="0.3">
      <c r="A17" s="59" t="s">
        <v>907</v>
      </c>
      <c r="B17" s="59" t="s">
        <v>911</v>
      </c>
      <c r="C17" s="59" t="s">
        <v>1029</v>
      </c>
      <c r="D17" s="59" t="s">
        <v>1016</v>
      </c>
      <c r="E17" s="85" t="s">
        <v>1030</v>
      </c>
      <c r="F17" s="107"/>
      <c r="G17" s="106"/>
    </row>
    <row r="18" spans="1:7" ht="16" customHeight="1" x14ac:dyDescent="0.3">
      <c r="A18" s="59" t="s">
        <v>907</v>
      </c>
      <c r="B18" s="59" t="s">
        <v>913</v>
      </c>
      <c r="C18" s="59" t="s">
        <v>1031</v>
      </c>
      <c r="D18" s="59" t="s">
        <v>1022</v>
      </c>
      <c r="E18" s="86" t="s">
        <v>1019</v>
      </c>
      <c r="F18" s="107"/>
      <c r="G18" s="106"/>
    </row>
    <row r="19" spans="1:7" ht="16" customHeight="1" x14ac:dyDescent="0.3">
      <c r="A19" s="59" t="s">
        <v>907</v>
      </c>
      <c r="B19" s="59" t="s">
        <v>915</v>
      </c>
      <c r="C19" s="59" t="s">
        <v>1032</v>
      </c>
      <c r="D19" s="59" t="s">
        <v>1022</v>
      </c>
      <c r="E19" s="86" t="s">
        <v>1033</v>
      </c>
      <c r="F19" s="107"/>
      <c r="G19" s="106"/>
    </row>
    <row r="20" spans="1:7" ht="16" customHeight="1" x14ac:dyDescent="0.3">
      <c r="A20" s="59" t="s">
        <v>1034</v>
      </c>
      <c r="B20" s="59" t="s">
        <v>1035</v>
      </c>
      <c r="C20" s="59" t="s">
        <v>1036</v>
      </c>
      <c r="D20" s="59" t="s">
        <v>771</v>
      </c>
      <c r="E20" s="86" t="s">
        <v>108</v>
      </c>
      <c r="F20" s="107"/>
      <c r="G20" s="106"/>
    </row>
    <row r="21" spans="1:7" x14ac:dyDescent="0.3">
      <c r="A21" s="59" t="s">
        <v>916</v>
      </c>
      <c r="B21" s="59" t="s">
        <v>917</v>
      </c>
      <c r="C21" s="59" t="s">
        <v>918</v>
      </c>
      <c r="D21" s="59" t="s">
        <v>490</v>
      </c>
      <c r="E21" s="87" t="s">
        <v>921</v>
      </c>
      <c r="F21" s="107"/>
      <c r="G21" s="106"/>
    </row>
    <row r="22" spans="1:7" x14ac:dyDescent="0.3">
      <c r="A22" s="59" t="s">
        <v>919</v>
      </c>
      <c r="B22" s="59" t="s">
        <v>920</v>
      </c>
      <c r="C22" s="59" t="s">
        <v>1037</v>
      </c>
      <c r="D22" s="59" t="s">
        <v>490</v>
      </c>
      <c r="E22" s="87" t="s">
        <v>1038</v>
      </c>
      <c r="F22" s="107"/>
      <c r="G22" s="106"/>
    </row>
    <row r="23" spans="1:7" x14ac:dyDescent="0.3">
      <c r="A23" s="59" t="s">
        <v>922</v>
      </c>
      <c r="B23" s="59" t="s">
        <v>306</v>
      </c>
      <c r="C23" s="59" t="s">
        <v>307</v>
      </c>
      <c r="D23" s="59" t="s">
        <v>308</v>
      </c>
      <c r="E23" s="87" t="s">
        <v>934</v>
      </c>
      <c r="F23" s="107"/>
      <c r="G23" s="106"/>
    </row>
    <row r="24" spans="1:7" x14ac:dyDescent="0.3">
      <c r="A24" s="59" t="s">
        <v>923</v>
      </c>
      <c r="B24" s="59" t="s">
        <v>1039</v>
      </c>
      <c r="C24" s="59" t="s">
        <v>309</v>
      </c>
      <c r="D24" s="59" t="s">
        <v>308</v>
      </c>
      <c r="E24" s="87" t="s">
        <v>1040</v>
      </c>
      <c r="F24" s="107"/>
      <c r="G24" s="106"/>
    </row>
    <row r="25" spans="1:7" x14ac:dyDescent="0.3">
      <c r="A25" s="59" t="s">
        <v>924</v>
      </c>
      <c r="B25" s="59" t="s">
        <v>925</v>
      </c>
      <c r="C25" s="59" t="s">
        <v>310</v>
      </c>
      <c r="D25" s="59" t="s">
        <v>308</v>
      </c>
      <c r="E25" s="87" t="s">
        <v>114</v>
      </c>
      <c r="F25" s="107"/>
      <c r="G25" s="106"/>
    </row>
    <row r="26" spans="1:7" x14ac:dyDescent="0.3">
      <c r="A26" s="59" t="s">
        <v>926</v>
      </c>
      <c r="B26" s="59" t="s">
        <v>1041</v>
      </c>
      <c r="C26" s="59" t="s">
        <v>311</v>
      </c>
      <c r="D26" s="59" t="s">
        <v>308</v>
      </c>
      <c r="E26" s="87" t="s">
        <v>1042</v>
      </c>
      <c r="F26" s="107"/>
      <c r="G26" s="106"/>
    </row>
    <row r="27" spans="1:7" x14ac:dyDescent="0.3">
      <c r="A27" s="59" t="s">
        <v>927</v>
      </c>
      <c r="B27" s="59" t="s">
        <v>1043</v>
      </c>
      <c r="C27" s="59" t="s">
        <v>312</v>
      </c>
      <c r="D27" s="59" t="s">
        <v>308</v>
      </c>
      <c r="E27" s="87" t="s">
        <v>1044</v>
      </c>
      <c r="F27" s="107"/>
      <c r="G27" s="106"/>
    </row>
    <row r="28" spans="1:7" x14ac:dyDescent="0.3">
      <c r="A28" s="59" t="s">
        <v>928</v>
      </c>
      <c r="B28" s="59" t="s">
        <v>1045</v>
      </c>
      <c r="C28" s="59" t="s">
        <v>313</v>
      </c>
      <c r="D28" s="59" t="s">
        <v>308</v>
      </c>
      <c r="E28" s="87" t="s">
        <v>946</v>
      </c>
      <c r="F28" s="107"/>
      <c r="G28" s="106"/>
    </row>
    <row r="29" spans="1:7" x14ac:dyDescent="0.3">
      <c r="A29" s="59" t="s">
        <v>929</v>
      </c>
      <c r="B29" s="59" t="s">
        <v>1046</v>
      </c>
      <c r="C29" s="59" t="s">
        <v>314</v>
      </c>
      <c r="D29" s="59" t="s">
        <v>308</v>
      </c>
      <c r="E29" s="87" t="s">
        <v>937</v>
      </c>
      <c r="F29" s="107"/>
      <c r="G29" s="106"/>
    </row>
    <row r="30" spans="1:7" x14ac:dyDescent="0.3">
      <c r="A30" s="59" t="s">
        <v>930</v>
      </c>
      <c r="B30" s="59" t="s">
        <v>1047</v>
      </c>
      <c r="C30" s="59" t="s">
        <v>315</v>
      </c>
      <c r="D30" s="59" t="s">
        <v>308</v>
      </c>
      <c r="E30" s="87" t="s">
        <v>947</v>
      </c>
      <c r="F30" s="107"/>
      <c r="G30" s="106"/>
    </row>
    <row r="31" spans="1:7" x14ac:dyDescent="0.3">
      <c r="A31" s="59" t="s">
        <v>931</v>
      </c>
      <c r="B31" s="59" t="s">
        <v>932</v>
      </c>
      <c r="C31" s="59" t="s">
        <v>316</v>
      </c>
      <c r="D31" s="59" t="s">
        <v>308</v>
      </c>
      <c r="E31" s="87" t="s">
        <v>41</v>
      </c>
      <c r="F31" s="107"/>
      <c r="G31" s="106"/>
    </row>
    <row r="32" spans="1:7" x14ac:dyDescent="0.3">
      <c r="A32" s="59" t="s">
        <v>933</v>
      </c>
      <c r="B32" s="59" t="s">
        <v>1048</v>
      </c>
      <c r="C32" s="59" t="s">
        <v>317</v>
      </c>
      <c r="D32" s="59" t="s">
        <v>308</v>
      </c>
      <c r="E32" s="87" t="s">
        <v>580</v>
      </c>
      <c r="F32" s="107"/>
      <c r="G32" s="106"/>
    </row>
    <row r="33" spans="1:7" x14ac:dyDescent="0.3">
      <c r="A33" s="59" t="s">
        <v>935</v>
      </c>
      <c r="B33" s="59" t="s">
        <v>936</v>
      </c>
      <c r="C33" s="59" t="s">
        <v>318</v>
      </c>
      <c r="D33" s="59" t="s">
        <v>308</v>
      </c>
      <c r="E33" s="87" t="s">
        <v>942</v>
      </c>
      <c r="F33" s="107"/>
      <c r="G33" s="106"/>
    </row>
    <row r="34" spans="1:7" x14ac:dyDescent="0.3">
      <c r="A34" s="59" t="s">
        <v>938</v>
      </c>
      <c r="B34" s="59" t="s">
        <v>939</v>
      </c>
      <c r="C34" s="59" t="s">
        <v>319</v>
      </c>
      <c r="D34" s="59" t="s">
        <v>308</v>
      </c>
      <c r="E34" s="87" t="s">
        <v>1049</v>
      </c>
      <c r="F34" s="107"/>
      <c r="G34" s="106"/>
    </row>
    <row r="35" spans="1:7" x14ac:dyDescent="0.3">
      <c r="A35" s="59" t="s">
        <v>940</v>
      </c>
      <c r="B35" s="59" t="s">
        <v>1050</v>
      </c>
      <c r="C35" s="59" t="s">
        <v>320</v>
      </c>
      <c r="D35" s="59" t="s">
        <v>308</v>
      </c>
      <c r="E35" s="87" t="s">
        <v>1051</v>
      </c>
      <c r="F35" s="107"/>
      <c r="G35" s="106"/>
    </row>
    <row r="36" spans="1:7" x14ac:dyDescent="0.3">
      <c r="A36" s="59" t="s">
        <v>941</v>
      </c>
      <c r="B36" s="59" t="s">
        <v>1052</v>
      </c>
      <c r="C36" s="59" t="s">
        <v>321</v>
      </c>
      <c r="D36" s="59" t="s">
        <v>308</v>
      </c>
      <c r="E36" s="87" t="s">
        <v>1053</v>
      </c>
      <c r="F36" s="107"/>
      <c r="G36" s="106"/>
    </row>
    <row r="37" spans="1:7" x14ac:dyDescent="0.3">
      <c r="A37" s="59" t="s">
        <v>943</v>
      </c>
      <c r="B37" s="59" t="s">
        <v>944</v>
      </c>
      <c r="C37" s="59" t="s">
        <v>322</v>
      </c>
      <c r="D37" s="59" t="s">
        <v>308</v>
      </c>
      <c r="E37" s="87" t="s">
        <v>1054</v>
      </c>
      <c r="F37" s="107"/>
      <c r="G37" s="106"/>
    </row>
    <row r="38" spans="1:7" x14ac:dyDescent="0.3">
      <c r="A38" s="59" t="s">
        <v>945</v>
      </c>
      <c r="B38" s="59" t="s">
        <v>1055</v>
      </c>
      <c r="C38" s="59" t="s">
        <v>323</v>
      </c>
      <c r="D38" s="59" t="s">
        <v>308</v>
      </c>
      <c r="E38" s="87" t="s">
        <v>1056</v>
      </c>
      <c r="F38" s="107"/>
      <c r="G38" s="106"/>
    </row>
    <row r="39" spans="1:7" x14ac:dyDescent="0.3">
      <c r="A39" s="59" t="s">
        <v>1057</v>
      </c>
      <c r="B39" s="59" t="s">
        <v>1058</v>
      </c>
      <c r="C39" s="59" t="s">
        <v>324</v>
      </c>
      <c r="D39" s="59" t="s">
        <v>308</v>
      </c>
      <c r="E39" s="87" t="s">
        <v>1059</v>
      </c>
      <c r="F39" s="107"/>
      <c r="G39" s="106"/>
    </row>
    <row r="40" spans="1:7" x14ac:dyDescent="0.3">
      <c r="A40" s="59" t="s">
        <v>1057</v>
      </c>
      <c r="B40" s="59" t="s">
        <v>1060</v>
      </c>
      <c r="C40" s="59" t="s">
        <v>325</v>
      </c>
      <c r="D40" s="59" t="s">
        <v>308</v>
      </c>
      <c r="E40" s="87" t="s">
        <v>1061</v>
      </c>
      <c r="F40" s="107"/>
      <c r="G40" s="106"/>
    </row>
    <row r="41" spans="1:7" x14ac:dyDescent="0.3">
      <c r="A41" s="59" t="s">
        <v>1057</v>
      </c>
      <c r="B41" s="59" t="s">
        <v>1062</v>
      </c>
      <c r="C41" s="59" t="s">
        <v>326</v>
      </c>
      <c r="D41" s="59" t="s">
        <v>308</v>
      </c>
      <c r="E41" s="87" t="s">
        <v>1063</v>
      </c>
      <c r="F41" s="107"/>
      <c r="G41" s="106"/>
    </row>
    <row r="42" spans="1:7" x14ac:dyDescent="0.3">
      <c r="A42" s="59" t="s">
        <v>1057</v>
      </c>
      <c r="B42" s="59" t="s">
        <v>1064</v>
      </c>
      <c r="C42" s="59" t="s">
        <v>327</v>
      </c>
      <c r="D42" s="59" t="s">
        <v>308</v>
      </c>
      <c r="E42" s="87" t="s">
        <v>1065</v>
      </c>
      <c r="F42" s="107"/>
      <c r="G42" s="106"/>
    </row>
    <row r="43" spans="1:7" x14ac:dyDescent="0.3">
      <c r="A43" s="59" t="s">
        <v>1057</v>
      </c>
      <c r="B43" s="59" t="s">
        <v>1066</v>
      </c>
      <c r="C43" s="59" t="s">
        <v>328</v>
      </c>
      <c r="D43" s="59" t="s">
        <v>308</v>
      </c>
      <c r="E43" s="87" t="s">
        <v>1067</v>
      </c>
      <c r="F43" s="107"/>
      <c r="G43" s="106"/>
    </row>
    <row r="44" spans="1:7" x14ac:dyDescent="0.3">
      <c r="A44" s="42" t="s">
        <v>948</v>
      </c>
      <c r="B44" s="42" t="s">
        <v>949</v>
      </c>
      <c r="C44" s="42" t="s">
        <v>950</v>
      </c>
      <c r="D44" s="42" t="s">
        <v>951</v>
      </c>
      <c r="E44" s="45" t="s">
        <v>914</v>
      </c>
      <c r="F44" t="s">
        <v>952</v>
      </c>
    </row>
    <row r="45" spans="1:7" x14ac:dyDescent="0.3">
      <c r="A45" s="43" t="s">
        <v>953</v>
      </c>
      <c r="B45" s="46" t="s">
        <v>954</v>
      </c>
      <c r="C45" s="44" t="s">
        <v>953</v>
      </c>
      <c r="D45" s="42" t="s">
        <v>955</v>
      </c>
      <c r="E45" s="45" t="s">
        <v>912</v>
      </c>
      <c r="F45" s="25" t="s">
        <v>956</v>
      </c>
    </row>
    <row r="46" spans="1:7" x14ac:dyDescent="0.3">
      <c r="A46" s="48" t="s">
        <v>957</v>
      </c>
      <c r="B46" s="48" t="s">
        <v>958</v>
      </c>
      <c r="C46" s="48" t="s">
        <v>959</v>
      </c>
      <c r="D46" s="49" t="s">
        <v>960</v>
      </c>
      <c r="E46" s="50" t="s">
        <v>914</v>
      </c>
    </row>
    <row r="47" spans="1:7" x14ac:dyDescent="0.3">
      <c r="A47" s="41" t="s">
        <v>961</v>
      </c>
      <c r="B47" s="41" t="s">
        <v>962</v>
      </c>
      <c r="C47" s="41" t="s">
        <v>963</v>
      </c>
      <c r="D47" s="39" t="s">
        <v>964</v>
      </c>
      <c r="E47" s="40" t="s">
        <v>914</v>
      </c>
    </row>
    <row r="48" spans="1:7" x14ac:dyDescent="0.3">
      <c r="A48" s="41" t="s">
        <v>111</v>
      </c>
      <c r="B48" s="41" t="s">
        <v>965</v>
      </c>
      <c r="C48" s="41" t="s">
        <v>966</v>
      </c>
      <c r="D48" s="39" t="s">
        <v>960</v>
      </c>
      <c r="E48" s="40" t="s">
        <v>967</v>
      </c>
      <c r="F48" s="4"/>
    </row>
    <row r="49" spans="1:6" x14ac:dyDescent="0.3">
      <c r="A49" s="51" t="s">
        <v>968</v>
      </c>
      <c r="B49" s="52" t="s">
        <v>969</v>
      </c>
      <c r="C49" s="51" t="s">
        <v>970</v>
      </c>
      <c r="D49" s="53" t="s">
        <v>960</v>
      </c>
      <c r="E49" s="54" t="s">
        <v>971</v>
      </c>
      <c r="F49" s="55" t="s">
        <v>956</v>
      </c>
    </row>
    <row r="50" spans="1:6" x14ac:dyDescent="0.3">
      <c r="A50" s="51" t="s">
        <v>972</v>
      </c>
      <c r="B50" s="52" t="s">
        <v>973</v>
      </c>
      <c r="C50" s="51" t="s">
        <v>974</v>
      </c>
      <c r="D50" s="53" t="s">
        <v>975</v>
      </c>
      <c r="E50" s="54" t="s">
        <v>976</v>
      </c>
      <c r="F50" s="56" t="s">
        <v>956</v>
      </c>
    </row>
  </sheetData>
  <mergeCells count="2">
    <mergeCell ref="G6:G43"/>
    <mergeCell ref="F12:F43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4"/>
  <sheetViews>
    <sheetView topLeftCell="A15" workbookViewId="0">
      <selection activeCell="E41" sqref="E41"/>
    </sheetView>
  </sheetViews>
  <sheetFormatPr defaultRowHeight="14" x14ac:dyDescent="0.3"/>
  <cols>
    <col min="1" max="1" width="24.83203125" customWidth="1"/>
    <col min="2" max="2" width="14.83203125" customWidth="1"/>
    <col min="3" max="3" width="26.75" customWidth="1"/>
    <col min="5" max="5" width="19.58203125" customWidth="1"/>
    <col min="6" max="6" width="54.33203125" customWidth="1"/>
  </cols>
  <sheetData>
    <row r="1" spans="1:6" x14ac:dyDescent="0.3">
      <c r="A1" s="13" t="s">
        <v>0</v>
      </c>
      <c r="B1" s="13" t="s">
        <v>177</v>
      </c>
      <c r="C1" s="13"/>
      <c r="D1" s="13"/>
      <c r="E1" s="14"/>
      <c r="F1" s="14"/>
    </row>
    <row r="2" spans="1:6" x14ac:dyDescent="0.3">
      <c r="A2" s="13" t="s">
        <v>1</v>
      </c>
      <c r="B2" s="14" t="s">
        <v>100</v>
      </c>
      <c r="C2" s="13"/>
      <c r="D2" s="13"/>
      <c r="E2" s="14"/>
      <c r="F2" s="14"/>
    </row>
    <row r="3" spans="1:6" x14ac:dyDescent="0.3">
      <c r="A3" s="13" t="s">
        <v>2</v>
      </c>
      <c r="B3" s="13" t="s">
        <v>3</v>
      </c>
      <c r="C3" s="13" t="s">
        <v>5</v>
      </c>
      <c r="D3" s="13" t="s">
        <v>6</v>
      </c>
      <c r="E3" s="14" t="s">
        <v>4</v>
      </c>
      <c r="F3" s="88" t="s">
        <v>1118</v>
      </c>
    </row>
    <row r="4" spans="1:6" x14ac:dyDescent="0.3">
      <c r="A4" s="4" t="s">
        <v>866</v>
      </c>
      <c r="B4" s="4" t="s">
        <v>424</v>
      </c>
      <c r="C4" s="4" t="s">
        <v>865</v>
      </c>
      <c r="D4" s="4" t="s">
        <v>425</v>
      </c>
      <c r="E4" s="4" t="str">
        <f>"0x"&amp;(DEC2HEX(_xlfn.BITAND(umctl2_timing!B4,255)))</f>
        <v>0x1</v>
      </c>
    </row>
    <row r="5" spans="1:6" x14ac:dyDescent="0.3">
      <c r="A5" s="4" t="s">
        <v>867</v>
      </c>
      <c r="B5" s="4" t="s">
        <v>426</v>
      </c>
      <c r="C5" s="4" t="s">
        <v>868</v>
      </c>
      <c r="D5" s="4" t="s">
        <v>425</v>
      </c>
      <c r="E5" s="4" t="str">
        <f>"0x"&amp;(DEC2HEX(_xlfn.BITAND(_xlfn.BITRSHIFT((umctl2_timing!B4+16384),8),255)))</f>
        <v>0x41</v>
      </c>
    </row>
    <row r="6" spans="1:6" x14ac:dyDescent="0.3">
      <c r="A6" s="4" t="s">
        <v>869</v>
      </c>
      <c r="B6" s="4" t="s">
        <v>427</v>
      </c>
      <c r="C6" s="4" t="s">
        <v>870</v>
      </c>
      <c r="D6" s="4" t="s">
        <v>428</v>
      </c>
      <c r="E6" s="4" t="s">
        <v>329</v>
      </c>
    </row>
    <row r="7" spans="1:6" x14ac:dyDescent="0.3">
      <c r="A7" s="4" t="s">
        <v>869</v>
      </c>
      <c r="B7" s="4" t="s">
        <v>880</v>
      </c>
      <c r="C7" s="4" t="s">
        <v>877</v>
      </c>
      <c r="D7" s="4" t="s">
        <v>878</v>
      </c>
      <c r="E7" s="4" t="s">
        <v>879</v>
      </c>
    </row>
    <row r="8" spans="1:6" x14ac:dyDescent="0.3">
      <c r="A8" s="4" t="s">
        <v>871</v>
      </c>
      <c r="B8" s="77" t="s">
        <v>429</v>
      </c>
      <c r="C8" s="4" t="s">
        <v>872</v>
      </c>
      <c r="D8" s="4" t="s">
        <v>430</v>
      </c>
      <c r="E8" s="4" t="s">
        <v>431</v>
      </c>
      <c r="F8" s="26" t="s">
        <v>182</v>
      </c>
    </row>
    <row r="9" spans="1:6" x14ac:dyDescent="0.3">
      <c r="A9" s="4" t="s">
        <v>873</v>
      </c>
      <c r="B9" s="4" t="s">
        <v>427</v>
      </c>
      <c r="C9" s="4" t="s">
        <v>870</v>
      </c>
      <c r="D9" s="4" t="s">
        <v>428</v>
      </c>
      <c r="E9" s="4" t="s">
        <v>331</v>
      </c>
    </row>
    <row r="10" spans="1:6" x14ac:dyDescent="0.3">
      <c r="A10" s="4" t="s">
        <v>869</v>
      </c>
      <c r="B10" s="4" t="s">
        <v>880</v>
      </c>
      <c r="C10" s="4" t="s">
        <v>877</v>
      </c>
      <c r="D10" s="4" t="s">
        <v>878</v>
      </c>
      <c r="E10" s="4" t="s">
        <v>881</v>
      </c>
    </row>
    <row r="11" spans="1:6" x14ac:dyDescent="0.3">
      <c r="A11" s="4" t="s">
        <v>874</v>
      </c>
      <c r="B11" s="4" t="s">
        <v>890</v>
      </c>
      <c r="C11" s="4" t="s">
        <v>891</v>
      </c>
      <c r="D11" s="4" t="s">
        <v>892</v>
      </c>
      <c r="E11" s="4" t="s">
        <v>881</v>
      </c>
    </row>
    <row r="12" spans="1:6" x14ac:dyDescent="0.3">
      <c r="A12" s="4" t="s">
        <v>874</v>
      </c>
      <c r="B12" s="4" t="s">
        <v>893</v>
      </c>
      <c r="C12" s="4" t="s">
        <v>894</v>
      </c>
      <c r="D12" s="4" t="s">
        <v>895</v>
      </c>
      <c r="E12" s="4" t="s">
        <v>881</v>
      </c>
    </row>
    <row r="13" spans="1:6" x14ac:dyDescent="0.3">
      <c r="A13" s="4" t="s">
        <v>874</v>
      </c>
      <c r="B13" s="4" t="s">
        <v>897</v>
      </c>
      <c r="C13" s="4" t="s">
        <v>896</v>
      </c>
      <c r="D13" s="4" t="s">
        <v>895</v>
      </c>
      <c r="E13" s="4" t="s">
        <v>881</v>
      </c>
    </row>
    <row r="14" spans="1:6" x14ac:dyDescent="0.3">
      <c r="A14" s="4" t="s">
        <v>874</v>
      </c>
      <c r="B14" s="4" t="s">
        <v>898</v>
      </c>
      <c r="C14" s="4" t="s">
        <v>899</v>
      </c>
      <c r="D14" s="4" t="s">
        <v>895</v>
      </c>
      <c r="E14" s="4" t="s">
        <v>881</v>
      </c>
    </row>
    <row r="15" spans="1:6" x14ac:dyDescent="0.3">
      <c r="A15" s="4" t="s">
        <v>874</v>
      </c>
      <c r="B15" s="4" t="s">
        <v>900</v>
      </c>
      <c r="C15" s="4" t="s">
        <v>901</v>
      </c>
      <c r="D15" s="4" t="s">
        <v>895</v>
      </c>
      <c r="E15" s="4" t="s">
        <v>881</v>
      </c>
    </row>
    <row r="16" spans="1:6" x14ac:dyDescent="0.3">
      <c r="A16" s="4" t="s">
        <v>874</v>
      </c>
      <c r="B16" s="4" t="s">
        <v>880</v>
      </c>
      <c r="C16" s="4" t="s">
        <v>882</v>
      </c>
      <c r="D16" s="4" t="s">
        <v>883</v>
      </c>
      <c r="E16" s="4" t="s">
        <v>879</v>
      </c>
    </row>
    <row r="17" spans="1:6" x14ac:dyDescent="0.3">
      <c r="A17" s="4" t="s">
        <v>874</v>
      </c>
      <c r="B17" s="4" t="s">
        <v>427</v>
      </c>
      <c r="C17" s="4" t="s">
        <v>875</v>
      </c>
      <c r="D17" s="4" t="s">
        <v>432</v>
      </c>
      <c r="E17" s="4" t="s">
        <v>329</v>
      </c>
    </row>
    <row r="18" spans="1:6" x14ac:dyDescent="0.3">
      <c r="A18" s="4" t="s">
        <v>874</v>
      </c>
      <c r="B18" s="77" t="s">
        <v>433</v>
      </c>
      <c r="C18" s="4" t="s">
        <v>876</v>
      </c>
      <c r="D18" s="4" t="s">
        <v>308</v>
      </c>
      <c r="E18" s="4" t="s">
        <v>434</v>
      </c>
      <c r="F18" s="26" t="s">
        <v>182</v>
      </c>
    </row>
    <row r="19" spans="1:6" x14ac:dyDescent="0.3">
      <c r="A19" s="4" t="s">
        <v>874</v>
      </c>
      <c r="B19" s="4" t="s">
        <v>427</v>
      </c>
      <c r="C19" s="4" t="s">
        <v>875</v>
      </c>
      <c r="D19" s="4" t="s">
        <v>432</v>
      </c>
      <c r="E19" s="4" t="s">
        <v>331</v>
      </c>
    </row>
    <row r="20" spans="1:6" x14ac:dyDescent="0.3">
      <c r="A20" s="4" t="s">
        <v>874</v>
      </c>
      <c r="B20" s="4" t="s">
        <v>880</v>
      </c>
      <c r="C20" s="4" t="s">
        <v>882</v>
      </c>
      <c r="D20" s="4" t="s">
        <v>883</v>
      </c>
      <c r="E20" s="4" t="s">
        <v>884</v>
      </c>
    </row>
    <row r="21" spans="1:6" x14ac:dyDescent="0.3">
      <c r="A21" s="4" t="s">
        <v>874</v>
      </c>
      <c r="B21" s="4" t="s">
        <v>893</v>
      </c>
      <c r="C21" s="4" t="s">
        <v>894</v>
      </c>
      <c r="D21" s="4" t="s">
        <v>895</v>
      </c>
      <c r="E21" s="4" t="s">
        <v>902</v>
      </c>
    </row>
    <row r="22" spans="1:6" x14ac:dyDescent="0.3">
      <c r="A22" s="4" t="s">
        <v>874</v>
      </c>
      <c r="B22" s="4" t="s">
        <v>897</v>
      </c>
      <c r="C22" s="4" t="s">
        <v>896</v>
      </c>
      <c r="D22" s="4" t="s">
        <v>895</v>
      </c>
      <c r="E22" s="4" t="s">
        <v>902</v>
      </c>
    </row>
    <row r="23" spans="1:6" x14ac:dyDescent="0.3">
      <c r="A23" s="4" t="s">
        <v>874</v>
      </c>
      <c r="B23" s="4" t="s">
        <v>898</v>
      </c>
      <c r="C23" s="4" t="s">
        <v>899</v>
      </c>
      <c r="D23" s="4" t="s">
        <v>895</v>
      </c>
      <c r="E23" s="4" t="s">
        <v>902</v>
      </c>
    </row>
    <row r="24" spans="1:6" x14ac:dyDescent="0.3">
      <c r="A24" s="4" t="s">
        <v>874</v>
      </c>
      <c r="B24" s="4" t="s">
        <v>900</v>
      </c>
      <c r="C24" s="4" t="s">
        <v>901</v>
      </c>
      <c r="D24" s="4" t="s">
        <v>895</v>
      </c>
      <c r="E24" s="4" t="s">
        <v>902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40CFC-528A-4425-80E8-8C70C627CFFE}">
  <dimension ref="A1:G46"/>
  <sheetViews>
    <sheetView tabSelected="1" topLeftCell="A19" zoomScale="85" zoomScaleNormal="85" workbookViewId="0">
      <selection activeCell="C29" sqref="C29:F29"/>
    </sheetView>
  </sheetViews>
  <sheetFormatPr defaultRowHeight="14" x14ac:dyDescent="0.3"/>
  <cols>
    <col min="1" max="1" width="30.33203125" customWidth="1"/>
    <col min="2" max="2" width="14.08203125" customWidth="1"/>
    <col min="3" max="3" width="34.58203125" customWidth="1"/>
    <col min="4" max="4" width="7.58203125" customWidth="1"/>
    <col min="5" max="5" width="12.58203125" style="1" customWidth="1"/>
    <col min="6" max="6" width="21.25" customWidth="1"/>
    <col min="7" max="7" width="42.33203125" customWidth="1"/>
  </cols>
  <sheetData>
    <row r="1" spans="1:7" x14ac:dyDescent="0.3">
      <c r="A1" t="s">
        <v>0</v>
      </c>
      <c r="B1" t="s">
        <v>185</v>
      </c>
    </row>
    <row r="2" spans="1:7" x14ac:dyDescent="0.3">
      <c r="A2" t="s">
        <v>1</v>
      </c>
      <c r="B2" t="s">
        <v>100</v>
      </c>
    </row>
    <row r="3" spans="1:7" x14ac:dyDescent="0.3">
      <c r="A3" t="s">
        <v>2</v>
      </c>
      <c r="B3" t="s">
        <v>3</v>
      </c>
      <c r="C3" t="s">
        <v>5</v>
      </c>
      <c r="D3" t="s">
        <v>6</v>
      </c>
      <c r="E3" s="1" t="s">
        <v>4</v>
      </c>
    </row>
    <row r="4" spans="1:7" x14ac:dyDescent="0.3">
      <c r="A4" s="28" t="s">
        <v>260</v>
      </c>
      <c r="B4" s="28" t="s">
        <v>261</v>
      </c>
      <c r="C4" s="29" t="s">
        <v>259</v>
      </c>
      <c r="D4" s="28" t="s">
        <v>258</v>
      </c>
      <c r="E4" s="30" t="s">
        <v>21</v>
      </c>
      <c r="F4" s="31" t="s">
        <v>256</v>
      </c>
      <c r="G4" t="s">
        <v>266</v>
      </c>
    </row>
    <row r="5" spans="1:7" x14ac:dyDescent="0.3">
      <c r="A5" s="28"/>
      <c r="B5" s="28"/>
      <c r="C5" s="29" t="s">
        <v>254</v>
      </c>
      <c r="D5" s="28" t="s">
        <v>255</v>
      </c>
      <c r="E5" s="30" t="s">
        <v>22</v>
      </c>
      <c r="F5" s="31" t="s">
        <v>256</v>
      </c>
    </row>
    <row r="6" spans="1:7" x14ac:dyDescent="0.3">
      <c r="A6" s="28"/>
      <c r="B6" s="28"/>
      <c r="C6" s="29" t="s">
        <v>252</v>
      </c>
      <c r="D6" s="28" t="s">
        <v>253</v>
      </c>
      <c r="E6" s="30" t="s">
        <v>257</v>
      </c>
      <c r="F6" s="31" t="s">
        <v>256</v>
      </c>
    </row>
    <row r="7" spans="1:7" x14ac:dyDescent="0.3">
      <c r="A7" s="28" t="s">
        <v>297</v>
      </c>
      <c r="B7" s="28" t="s">
        <v>298</v>
      </c>
      <c r="C7" s="29" t="s">
        <v>299</v>
      </c>
      <c r="D7" s="28" t="s">
        <v>300</v>
      </c>
      <c r="E7" s="30" t="s">
        <v>22</v>
      </c>
      <c r="F7" s="31"/>
    </row>
    <row r="8" spans="1:7" x14ac:dyDescent="0.3">
      <c r="A8" s="28" t="s">
        <v>297</v>
      </c>
      <c r="B8" s="28" t="s">
        <v>298</v>
      </c>
      <c r="C8" s="29" t="s">
        <v>299</v>
      </c>
      <c r="D8" s="28" t="s">
        <v>300</v>
      </c>
      <c r="E8" s="30" t="s">
        <v>21</v>
      </c>
      <c r="F8" s="31"/>
    </row>
    <row r="9" spans="1:7" x14ac:dyDescent="0.3">
      <c r="A9" s="28" t="s">
        <v>297</v>
      </c>
      <c r="B9" s="58" t="s">
        <v>301</v>
      </c>
      <c r="C9" s="29" t="s">
        <v>302</v>
      </c>
      <c r="D9" s="28" t="s">
        <v>113</v>
      </c>
      <c r="E9" s="30" t="s">
        <v>22</v>
      </c>
      <c r="F9" s="31"/>
      <c r="G9" s="26" t="s">
        <v>182</v>
      </c>
    </row>
    <row r="10" spans="1:7" x14ac:dyDescent="0.3">
      <c r="A10" s="28" t="s">
        <v>229</v>
      </c>
      <c r="B10" s="28" t="s">
        <v>187</v>
      </c>
      <c r="C10" s="28" t="s">
        <v>188</v>
      </c>
      <c r="D10" s="28" t="s">
        <v>189</v>
      </c>
      <c r="E10" s="30" t="s">
        <v>22</v>
      </c>
      <c r="F10" s="31" t="s">
        <v>230</v>
      </c>
    </row>
    <row r="11" spans="1:7" x14ac:dyDescent="0.3">
      <c r="A11" s="28"/>
      <c r="B11" s="28"/>
      <c r="C11" s="28" t="s">
        <v>190</v>
      </c>
      <c r="D11" s="28" t="s">
        <v>147</v>
      </c>
      <c r="E11" s="30" t="s">
        <v>114</v>
      </c>
      <c r="F11" s="31" t="s">
        <v>231</v>
      </c>
    </row>
    <row r="12" spans="1:7" ht="42" x14ac:dyDescent="0.3">
      <c r="A12" s="28"/>
      <c r="B12" s="28"/>
      <c r="C12" s="28" t="s">
        <v>191</v>
      </c>
      <c r="D12" s="28" t="s">
        <v>148</v>
      </c>
      <c r="E12" s="30" t="s">
        <v>26</v>
      </c>
      <c r="F12" s="31" t="s">
        <v>192</v>
      </c>
    </row>
    <row r="13" spans="1:7" ht="56" x14ac:dyDescent="0.3">
      <c r="A13" s="28"/>
      <c r="B13" s="28"/>
      <c r="C13" s="28" t="s">
        <v>193</v>
      </c>
      <c r="D13" s="28" t="s">
        <v>194</v>
      </c>
      <c r="E13" s="30" t="s">
        <v>114</v>
      </c>
      <c r="F13" s="31" t="s">
        <v>232</v>
      </c>
      <c r="G13" t="s">
        <v>304</v>
      </c>
    </row>
    <row r="14" spans="1:7" x14ac:dyDescent="0.3">
      <c r="A14" s="32" t="s">
        <v>186</v>
      </c>
      <c r="B14" s="32" t="s">
        <v>262</v>
      </c>
      <c r="C14" s="33" t="s">
        <v>186</v>
      </c>
      <c r="D14" s="32" t="s">
        <v>60</v>
      </c>
      <c r="E14" s="34" t="s">
        <v>263</v>
      </c>
      <c r="F14" s="35" t="s">
        <v>264</v>
      </c>
      <c r="G14" t="s">
        <v>265</v>
      </c>
    </row>
    <row r="15" spans="1:7" ht="57.65" customHeight="1" x14ac:dyDescent="0.3">
      <c r="A15" s="32" t="s">
        <v>233</v>
      </c>
      <c r="B15" s="32" t="s">
        <v>236</v>
      </c>
      <c r="C15" s="32" t="s">
        <v>234</v>
      </c>
      <c r="D15" s="32" t="s">
        <v>194</v>
      </c>
      <c r="E15" s="34" t="s">
        <v>114</v>
      </c>
      <c r="F15" s="35" t="s">
        <v>235</v>
      </c>
      <c r="G15" t="s">
        <v>267</v>
      </c>
    </row>
    <row r="16" spans="1:7" ht="57.65" customHeight="1" x14ac:dyDescent="0.3">
      <c r="A16" s="32" t="s">
        <v>1125</v>
      </c>
      <c r="B16" s="32" t="s">
        <v>1126</v>
      </c>
      <c r="C16" s="32" t="s">
        <v>1127</v>
      </c>
      <c r="D16" s="32" t="s">
        <v>1128</v>
      </c>
      <c r="E16" s="34" t="s">
        <v>26</v>
      </c>
      <c r="F16" s="35"/>
    </row>
    <row r="17" spans="1:6" ht="28" x14ac:dyDescent="0.3">
      <c r="A17" s="32" t="s">
        <v>197</v>
      </c>
      <c r="B17" s="32" t="s">
        <v>237</v>
      </c>
      <c r="C17" s="33" t="s">
        <v>238</v>
      </c>
      <c r="D17" s="32" t="s">
        <v>239</v>
      </c>
      <c r="E17" s="34" t="s">
        <v>22</v>
      </c>
      <c r="F17" s="35" t="s">
        <v>240</v>
      </c>
    </row>
    <row r="18" spans="1:6" ht="56" x14ac:dyDescent="0.3">
      <c r="A18" s="32" t="s">
        <v>241</v>
      </c>
      <c r="B18" s="32" t="s">
        <v>244</v>
      </c>
      <c r="C18" s="33" t="s">
        <v>242</v>
      </c>
      <c r="D18" s="32" t="s">
        <v>239</v>
      </c>
      <c r="E18" s="34" t="s">
        <v>114</v>
      </c>
      <c r="F18" s="35" t="s">
        <v>243</v>
      </c>
    </row>
    <row r="19" spans="1:6" ht="42" x14ac:dyDescent="0.3">
      <c r="A19" s="32" t="s">
        <v>195</v>
      </c>
      <c r="B19" s="32" t="s">
        <v>245</v>
      </c>
      <c r="C19" s="32" t="s">
        <v>196</v>
      </c>
      <c r="D19" s="32" t="s">
        <v>194</v>
      </c>
      <c r="E19" s="34" t="s">
        <v>26</v>
      </c>
      <c r="F19" s="35" t="s">
        <v>246</v>
      </c>
    </row>
    <row r="20" spans="1:6" ht="56" x14ac:dyDescent="0.3">
      <c r="A20" t="s">
        <v>199</v>
      </c>
      <c r="B20" t="s">
        <v>200</v>
      </c>
      <c r="C20" t="s">
        <v>201</v>
      </c>
      <c r="D20" t="s">
        <v>202</v>
      </c>
      <c r="E20" s="1" t="s">
        <v>114</v>
      </c>
      <c r="F20" s="2" t="s">
        <v>203</v>
      </c>
    </row>
    <row r="21" spans="1:6" x14ac:dyDescent="0.3">
      <c r="C21" t="s">
        <v>204</v>
      </c>
      <c r="D21" t="s">
        <v>13</v>
      </c>
      <c r="E21" s="1" t="s">
        <v>22</v>
      </c>
      <c r="F21" s="2"/>
    </row>
    <row r="22" spans="1:6" x14ac:dyDescent="0.3">
      <c r="C22" t="s">
        <v>205</v>
      </c>
      <c r="D22" t="s">
        <v>14</v>
      </c>
      <c r="E22" s="1" t="s">
        <v>22</v>
      </c>
      <c r="F22" s="2"/>
    </row>
    <row r="23" spans="1:6" x14ac:dyDescent="0.3">
      <c r="A23" t="s">
        <v>206</v>
      </c>
      <c r="B23" t="s">
        <v>207</v>
      </c>
      <c r="C23" t="s">
        <v>208</v>
      </c>
      <c r="D23" t="s">
        <v>198</v>
      </c>
      <c r="E23" s="1" t="s">
        <v>22</v>
      </c>
      <c r="F23" s="2"/>
    </row>
    <row r="24" spans="1:6" x14ac:dyDescent="0.3">
      <c r="C24" t="s">
        <v>209</v>
      </c>
      <c r="D24" t="s">
        <v>210</v>
      </c>
      <c r="E24" s="1" t="s">
        <v>22</v>
      </c>
      <c r="F24" s="2"/>
    </row>
    <row r="25" spans="1:6" x14ac:dyDescent="0.3">
      <c r="C25" t="s">
        <v>211</v>
      </c>
      <c r="D25" t="s">
        <v>95</v>
      </c>
      <c r="E25" s="1" t="s">
        <v>22</v>
      </c>
      <c r="F25" s="2"/>
    </row>
    <row r="26" spans="1:6" x14ac:dyDescent="0.3">
      <c r="C26" t="s">
        <v>212</v>
      </c>
      <c r="D26" t="s">
        <v>213</v>
      </c>
      <c r="E26" s="1" t="s">
        <v>22</v>
      </c>
      <c r="F26" s="2"/>
    </row>
    <row r="27" spans="1:6" x14ac:dyDescent="0.3">
      <c r="C27" t="s">
        <v>214</v>
      </c>
      <c r="D27" t="s">
        <v>87</v>
      </c>
      <c r="E27" s="1" t="s">
        <v>22</v>
      </c>
      <c r="F27" s="2"/>
    </row>
    <row r="28" spans="1:6" x14ac:dyDescent="0.3">
      <c r="C28" t="s">
        <v>215</v>
      </c>
      <c r="D28" t="s">
        <v>113</v>
      </c>
      <c r="E28" s="1" t="s">
        <v>22</v>
      </c>
      <c r="F28" s="2"/>
    </row>
    <row r="29" spans="1:6" x14ac:dyDescent="0.3">
      <c r="C29" t="s">
        <v>1626</v>
      </c>
      <c r="D29" t="s">
        <v>1627</v>
      </c>
      <c r="E29" s="1" t="s">
        <v>114</v>
      </c>
      <c r="F29" s="2" t="s">
        <v>1628</v>
      </c>
    </row>
    <row r="30" spans="1:6" ht="56" x14ac:dyDescent="0.3">
      <c r="C30" t="s">
        <v>216</v>
      </c>
      <c r="D30" t="s">
        <v>217</v>
      </c>
      <c r="E30" s="1" t="s">
        <v>114</v>
      </c>
      <c r="F30" s="2" t="s">
        <v>251</v>
      </c>
    </row>
    <row r="31" spans="1:6" ht="56" x14ac:dyDescent="0.3">
      <c r="C31" t="s">
        <v>218</v>
      </c>
      <c r="D31" t="s">
        <v>219</v>
      </c>
      <c r="E31" s="1" t="s">
        <v>114</v>
      </c>
      <c r="F31" s="2" t="s">
        <v>250</v>
      </c>
    </row>
    <row r="32" spans="1:6" ht="56" x14ac:dyDescent="0.3">
      <c r="A32" t="s">
        <v>220</v>
      </c>
      <c r="B32" t="s">
        <v>221</v>
      </c>
      <c r="C32" t="s">
        <v>222</v>
      </c>
      <c r="D32" t="s">
        <v>194</v>
      </c>
      <c r="E32" s="1" t="s">
        <v>114</v>
      </c>
      <c r="F32" s="2" t="s">
        <v>247</v>
      </c>
    </row>
    <row r="33" spans="1:6" ht="56" x14ac:dyDescent="0.3">
      <c r="A33" t="s">
        <v>223</v>
      </c>
      <c r="B33" t="s">
        <v>224</v>
      </c>
      <c r="C33" t="s">
        <v>225</v>
      </c>
      <c r="D33" t="s">
        <v>194</v>
      </c>
      <c r="E33" s="1" t="s">
        <v>114</v>
      </c>
      <c r="F33" s="2" t="s">
        <v>248</v>
      </c>
    </row>
    <row r="34" spans="1:6" ht="56" x14ac:dyDescent="0.3">
      <c r="A34" t="s">
        <v>226</v>
      </c>
      <c r="B34" t="s">
        <v>227</v>
      </c>
      <c r="C34" t="s">
        <v>228</v>
      </c>
      <c r="D34" t="s">
        <v>194</v>
      </c>
      <c r="E34" s="1" t="s">
        <v>114</v>
      </c>
      <c r="F34" s="2" t="s">
        <v>249</v>
      </c>
    </row>
    <row r="35" spans="1:6" x14ac:dyDescent="0.3">
      <c r="A35" t="s">
        <v>1129</v>
      </c>
      <c r="B35" t="s">
        <v>1130</v>
      </c>
      <c r="C35" t="s">
        <v>1131</v>
      </c>
      <c r="D35" t="s">
        <v>428</v>
      </c>
      <c r="E35" s="1" t="s">
        <v>329</v>
      </c>
      <c r="F35" s="2" t="s">
        <v>1132</v>
      </c>
    </row>
    <row r="36" spans="1:6" x14ac:dyDescent="0.3">
      <c r="A36" t="s">
        <v>1133</v>
      </c>
      <c r="B36" t="s">
        <v>1134</v>
      </c>
      <c r="C36" t="s">
        <v>1135</v>
      </c>
      <c r="D36" t="s">
        <v>1136</v>
      </c>
      <c r="E36" s="1" t="s">
        <v>21</v>
      </c>
      <c r="F36" t="s">
        <v>1137</v>
      </c>
    </row>
    <row r="37" spans="1:6" x14ac:dyDescent="0.3">
      <c r="C37" t="s">
        <v>1138</v>
      </c>
      <c r="D37" t="s">
        <v>1139</v>
      </c>
      <c r="E37" s="1" t="s">
        <v>21</v>
      </c>
      <c r="F37" t="s">
        <v>1137</v>
      </c>
    </row>
    <row r="38" spans="1:6" x14ac:dyDescent="0.3">
      <c r="C38" s="2" t="s">
        <v>1140</v>
      </c>
      <c r="D38" t="s">
        <v>1141</v>
      </c>
      <c r="E38" s="1" t="s">
        <v>21</v>
      </c>
      <c r="F38" t="s">
        <v>1137</v>
      </c>
    </row>
    <row r="39" spans="1:6" x14ac:dyDescent="0.3">
      <c r="C39" t="s">
        <v>1142</v>
      </c>
      <c r="D39" t="s">
        <v>1143</v>
      </c>
      <c r="E39" s="1" t="s">
        <v>21</v>
      </c>
      <c r="F39" t="s">
        <v>1137</v>
      </c>
    </row>
    <row r="40" spans="1:6" x14ac:dyDescent="0.3">
      <c r="C40" t="s">
        <v>1144</v>
      </c>
      <c r="D40" t="s">
        <v>1145</v>
      </c>
      <c r="E40" s="1" t="s">
        <v>21</v>
      </c>
      <c r="F40" t="s">
        <v>1137</v>
      </c>
    </row>
    <row r="41" spans="1:6" x14ac:dyDescent="0.3">
      <c r="C41" t="s">
        <v>1146</v>
      </c>
      <c r="D41" t="s">
        <v>1147</v>
      </c>
      <c r="E41" s="1" t="s">
        <v>21</v>
      </c>
      <c r="F41" t="s">
        <v>1137</v>
      </c>
    </row>
    <row r="42" spans="1:6" x14ac:dyDescent="0.3">
      <c r="C42" t="s">
        <v>1148</v>
      </c>
      <c r="D42" t="s">
        <v>1149</v>
      </c>
      <c r="E42" s="1" t="s">
        <v>331</v>
      </c>
      <c r="F42" t="s">
        <v>1150</v>
      </c>
    </row>
    <row r="43" spans="1:6" x14ac:dyDescent="0.3">
      <c r="A43" t="s">
        <v>1151</v>
      </c>
      <c r="B43" t="s">
        <v>1152</v>
      </c>
      <c r="C43" t="s">
        <v>1153</v>
      </c>
      <c r="D43" t="s">
        <v>14</v>
      </c>
      <c r="E43" s="1" t="s">
        <v>329</v>
      </c>
      <c r="F43" s="2" t="s">
        <v>1154</v>
      </c>
    </row>
    <row r="44" spans="1:6" x14ac:dyDescent="0.3">
      <c r="A44" t="s">
        <v>1155</v>
      </c>
      <c r="B44" t="s">
        <v>1156</v>
      </c>
      <c r="C44" t="s">
        <v>1157</v>
      </c>
      <c r="D44" t="s">
        <v>449</v>
      </c>
      <c r="E44" s="1" t="s">
        <v>329</v>
      </c>
      <c r="F44" s="2" t="s">
        <v>1154</v>
      </c>
    </row>
    <row r="45" spans="1:6" ht="56" x14ac:dyDescent="0.3">
      <c r="A45" t="s">
        <v>1618</v>
      </c>
      <c r="B45" t="s">
        <v>1619</v>
      </c>
      <c r="C45" t="s">
        <v>1618</v>
      </c>
      <c r="D45" t="s">
        <v>1620</v>
      </c>
      <c r="E45" t="s">
        <v>1621</v>
      </c>
      <c r="F45" s="2" t="s">
        <v>1622</v>
      </c>
    </row>
    <row r="46" spans="1:6" x14ac:dyDescent="0.3">
      <c r="C46" t="s">
        <v>1623</v>
      </c>
      <c r="D46" t="s">
        <v>1624</v>
      </c>
      <c r="E46" s="1" t="s">
        <v>1625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655B2-55DA-406E-A0C4-6B2C7B3EAF52}">
  <dimension ref="A1:F82"/>
  <sheetViews>
    <sheetView topLeftCell="A52" workbookViewId="0">
      <selection activeCell="C43" sqref="C43"/>
    </sheetView>
  </sheetViews>
  <sheetFormatPr defaultRowHeight="14" x14ac:dyDescent="0.3"/>
  <cols>
    <col min="1" max="1" width="30.33203125" customWidth="1"/>
    <col min="2" max="2" width="14.08203125" customWidth="1"/>
    <col min="3" max="3" width="25.33203125" customWidth="1"/>
    <col min="4" max="4" width="20.58203125" customWidth="1"/>
    <col min="5" max="5" width="20.58203125" style="1" customWidth="1"/>
    <col min="6" max="6" width="17.58203125" customWidth="1"/>
  </cols>
  <sheetData>
    <row r="1" spans="1:6" x14ac:dyDescent="0.3">
      <c r="A1" t="s">
        <v>0</v>
      </c>
      <c r="B1" t="s">
        <v>1158</v>
      </c>
    </row>
    <row r="2" spans="1:6" x14ac:dyDescent="0.3">
      <c r="A2" t="s">
        <v>1</v>
      </c>
      <c r="B2" t="s">
        <v>1159</v>
      </c>
    </row>
    <row r="3" spans="1:6" x14ac:dyDescent="0.3">
      <c r="A3" t="s">
        <v>2</v>
      </c>
      <c r="B3" t="s">
        <v>3</v>
      </c>
      <c r="C3" t="s">
        <v>5</v>
      </c>
      <c r="D3" t="s">
        <v>6</v>
      </c>
      <c r="E3" s="1" t="s">
        <v>4</v>
      </c>
    </row>
    <row r="4" spans="1:6" ht="28" x14ac:dyDescent="0.3">
      <c r="A4" s="91" t="s">
        <v>1160</v>
      </c>
      <c r="B4" s="91" t="s">
        <v>1161</v>
      </c>
      <c r="C4" s="91" t="s">
        <v>1162</v>
      </c>
      <c r="D4" s="91" t="s">
        <v>194</v>
      </c>
      <c r="E4" s="92" t="s">
        <v>22</v>
      </c>
      <c r="F4" s="93" t="s">
        <v>1163</v>
      </c>
    </row>
    <row r="5" spans="1:6" ht="28" x14ac:dyDescent="0.3">
      <c r="A5" s="91" t="s">
        <v>1164</v>
      </c>
      <c r="B5" s="91" t="s">
        <v>1165</v>
      </c>
      <c r="C5" s="91" t="s">
        <v>1162</v>
      </c>
      <c r="D5" s="91" t="s">
        <v>194</v>
      </c>
      <c r="E5" s="92" t="s">
        <v>22</v>
      </c>
      <c r="F5" s="93" t="s">
        <v>1166</v>
      </c>
    </row>
    <row r="6" spans="1:6" ht="28" x14ac:dyDescent="0.3">
      <c r="A6" s="91" t="s">
        <v>1167</v>
      </c>
      <c r="B6" s="91" t="s">
        <v>1168</v>
      </c>
      <c r="C6" s="91" t="s">
        <v>1162</v>
      </c>
      <c r="D6" s="91" t="s">
        <v>194</v>
      </c>
      <c r="E6" s="92" t="s">
        <v>21</v>
      </c>
      <c r="F6" s="93" t="s">
        <v>1169</v>
      </c>
    </row>
    <row r="7" spans="1:6" ht="42" x14ac:dyDescent="0.3">
      <c r="A7" s="91" t="s">
        <v>1170</v>
      </c>
      <c r="B7" s="91" t="s">
        <v>789</v>
      </c>
      <c r="C7" s="91" t="s">
        <v>1171</v>
      </c>
      <c r="D7" s="91" t="s">
        <v>1128</v>
      </c>
      <c r="E7" s="92" t="s">
        <v>21</v>
      </c>
      <c r="F7" s="93" t="s">
        <v>1172</v>
      </c>
    </row>
    <row r="8" spans="1:6" ht="28" x14ac:dyDescent="0.3">
      <c r="A8" s="91" t="s">
        <v>1173</v>
      </c>
      <c r="B8" s="91" t="s">
        <v>793</v>
      </c>
      <c r="C8" s="91" t="s">
        <v>1162</v>
      </c>
      <c r="D8" s="91" t="s">
        <v>194</v>
      </c>
      <c r="E8" s="92" t="s">
        <v>21</v>
      </c>
      <c r="F8" s="93" t="s">
        <v>1174</v>
      </c>
    </row>
    <row r="9" spans="1:6" ht="28" x14ac:dyDescent="0.3">
      <c r="A9" s="91" t="s">
        <v>1175</v>
      </c>
      <c r="B9" s="91" t="s">
        <v>1176</v>
      </c>
      <c r="C9" s="91" t="s">
        <v>1162</v>
      </c>
      <c r="D9" s="91" t="s">
        <v>194</v>
      </c>
      <c r="E9" s="92" t="s">
        <v>21</v>
      </c>
      <c r="F9" s="93" t="s">
        <v>1177</v>
      </c>
    </row>
    <row r="10" spans="1:6" ht="28" x14ac:dyDescent="0.3">
      <c r="A10" s="91" t="s">
        <v>1178</v>
      </c>
      <c r="B10" s="91" t="s">
        <v>1179</v>
      </c>
      <c r="C10" s="91" t="s">
        <v>1162</v>
      </c>
      <c r="D10" s="91" t="s">
        <v>194</v>
      </c>
      <c r="E10" s="92" t="s">
        <v>21</v>
      </c>
      <c r="F10" s="93" t="s">
        <v>1180</v>
      </c>
    </row>
    <row r="11" spans="1:6" ht="28" x14ac:dyDescent="0.3">
      <c r="A11" s="91" t="s">
        <v>1181</v>
      </c>
      <c r="B11" s="91" t="s">
        <v>1182</v>
      </c>
      <c r="C11" s="91" t="s">
        <v>1162</v>
      </c>
      <c r="D11" s="91" t="s">
        <v>194</v>
      </c>
      <c r="E11" s="92" t="s">
        <v>21</v>
      </c>
      <c r="F11" s="93" t="s">
        <v>1183</v>
      </c>
    </row>
    <row r="12" spans="1:6" ht="28" x14ac:dyDescent="0.3">
      <c r="A12" s="91" t="s">
        <v>1184</v>
      </c>
      <c r="B12" s="91" t="s">
        <v>1185</v>
      </c>
      <c r="C12" s="91" t="s">
        <v>1162</v>
      </c>
      <c r="D12" s="91" t="s">
        <v>194</v>
      </c>
      <c r="E12" s="92" t="s">
        <v>21</v>
      </c>
      <c r="F12" s="93" t="s">
        <v>1186</v>
      </c>
    </row>
    <row r="13" spans="1:6" ht="28" x14ac:dyDescent="0.3">
      <c r="A13" s="91" t="s">
        <v>1187</v>
      </c>
      <c r="B13" s="91" t="s">
        <v>1188</v>
      </c>
      <c r="C13" s="91" t="s">
        <v>1162</v>
      </c>
      <c r="D13" s="91" t="s">
        <v>194</v>
      </c>
      <c r="E13" s="92" t="s">
        <v>21</v>
      </c>
      <c r="F13" s="93" t="s">
        <v>1189</v>
      </c>
    </row>
    <row r="14" spans="1:6" ht="28" x14ac:dyDescent="0.3">
      <c r="A14" s="91" t="s">
        <v>1190</v>
      </c>
      <c r="B14" s="91" t="s">
        <v>1191</v>
      </c>
      <c r="C14" s="91" t="s">
        <v>1162</v>
      </c>
      <c r="D14" s="91" t="s">
        <v>194</v>
      </c>
      <c r="E14" s="92" t="s">
        <v>21</v>
      </c>
      <c r="F14" s="93" t="s">
        <v>1192</v>
      </c>
    </row>
    <row r="15" spans="1:6" ht="28" x14ac:dyDescent="0.3">
      <c r="A15" s="91" t="s">
        <v>1193</v>
      </c>
      <c r="B15" s="91" t="s">
        <v>1194</v>
      </c>
      <c r="C15" s="91" t="s">
        <v>1162</v>
      </c>
      <c r="D15" s="91" t="s">
        <v>194</v>
      </c>
      <c r="E15" s="92" t="s">
        <v>21</v>
      </c>
      <c r="F15" s="93" t="s">
        <v>1195</v>
      </c>
    </row>
    <row r="16" spans="1:6" ht="28" x14ac:dyDescent="0.3">
      <c r="A16" s="91" t="s">
        <v>1196</v>
      </c>
      <c r="B16" s="91" t="s">
        <v>1197</v>
      </c>
      <c r="C16" s="91" t="s">
        <v>1162</v>
      </c>
      <c r="D16" s="91" t="s">
        <v>194</v>
      </c>
      <c r="E16" s="92" t="s">
        <v>21</v>
      </c>
      <c r="F16" s="93" t="s">
        <v>1198</v>
      </c>
    </row>
    <row r="17" spans="1:6" ht="28" x14ac:dyDescent="0.3">
      <c r="A17" s="94" t="s">
        <v>1199</v>
      </c>
      <c r="B17" s="94" t="s">
        <v>1200</v>
      </c>
      <c r="C17" s="94" t="s">
        <v>1162</v>
      </c>
      <c r="D17" s="94" t="s">
        <v>194</v>
      </c>
      <c r="E17" s="95" t="s">
        <v>22</v>
      </c>
      <c r="F17" s="93" t="s">
        <v>1201</v>
      </c>
    </row>
    <row r="18" spans="1:6" ht="28" x14ac:dyDescent="0.3">
      <c r="A18" s="94" t="s">
        <v>1202</v>
      </c>
      <c r="B18" s="94" t="s">
        <v>1203</v>
      </c>
      <c r="C18" s="94" t="s">
        <v>1162</v>
      </c>
      <c r="D18" s="94" t="s">
        <v>194</v>
      </c>
      <c r="E18" s="95" t="s">
        <v>22</v>
      </c>
      <c r="F18" s="93" t="s">
        <v>1204</v>
      </c>
    </row>
    <row r="19" spans="1:6" ht="28" x14ac:dyDescent="0.3">
      <c r="A19" s="94" t="s">
        <v>1205</v>
      </c>
      <c r="B19" s="94" t="s">
        <v>1206</v>
      </c>
      <c r="C19" s="94" t="s">
        <v>1162</v>
      </c>
      <c r="D19" s="94" t="s">
        <v>194</v>
      </c>
      <c r="E19" s="95" t="s">
        <v>22</v>
      </c>
      <c r="F19" s="93" t="s">
        <v>1207</v>
      </c>
    </row>
    <row r="20" spans="1:6" ht="28" x14ac:dyDescent="0.3">
      <c r="A20" s="94" t="s">
        <v>1208</v>
      </c>
      <c r="B20" s="94" t="s">
        <v>1209</v>
      </c>
      <c r="C20" s="94" t="s">
        <v>1162</v>
      </c>
      <c r="D20" s="94" t="s">
        <v>194</v>
      </c>
      <c r="E20" s="95" t="s">
        <v>22</v>
      </c>
      <c r="F20" s="93" t="s">
        <v>1210</v>
      </c>
    </row>
    <row r="21" spans="1:6" ht="28" x14ac:dyDescent="0.3">
      <c r="A21" s="94" t="s">
        <v>1211</v>
      </c>
      <c r="B21" s="94" t="s">
        <v>1212</v>
      </c>
      <c r="C21" s="94" t="s">
        <v>1162</v>
      </c>
      <c r="D21" s="94" t="s">
        <v>194</v>
      </c>
      <c r="E21" s="95" t="s">
        <v>22</v>
      </c>
      <c r="F21" s="93" t="s">
        <v>1213</v>
      </c>
    </row>
    <row r="22" spans="1:6" ht="28" x14ac:dyDescent="0.3">
      <c r="A22" s="94" t="s">
        <v>1214</v>
      </c>
      <c r="B22" s="94" t="s">
        <v>1215</v>
      </c>
      <c r="C22" s="94" t="s">
        <v>1162</v>
      </c>
      <c r="D22" s="94" t="s">
        <v>194</v>
      </c>
      <c r="E22" s="95" t="s">
        <v>22</v>
      </c>
      <c r="F22" s="93" t="s">
        <v>1216</v>
      </c>
    </row>
    <row r="23" spans="1:6" ht="28" x14ac:dyDescent="0.3">
      <c r="A23" s="94" t="s">
        <v>1217</v>
      </c>
      <c r="B23" s="94" t="s">
        <v>1218</v>
      </c>
      <c r="C23" s="94" t="s">
        <v>1162</v>
      </c>
      <c r="D23" s="94" t="s">
        <v>194</v>
      </c>
      <c r="E23" s="95" t="s">
        <v>21</v>
      </c>
      <c r="F23" s="93" t="s">
        <v>1219</v>
      </c>
    </row>
    <row r="24" spans="1:6" ht="28" x14ac:dyDescent="0.3">
      <c r="A24" s="94" t="s">
        <v>1220</v>
      </c>
      <c r="B24" s="94" t="s">
        <v>1221</v>
      </c>
      <c r="C24" s="94" t="s">
        <v>1162</v>
      </c>
      <c r="D24" s="94" t="s">
        <v>194</v>
      </c>
      <c r="E24" s="95" t="s">
        <v>21</v>
      </c>
      <c r="F24" s="93" t="s">
        <v>1222</v>
      </c>
    </row>
    <row r="25" spans="1:6" ht="28" x14ac:dyDescent="0.3">
      <c r="A25" s="94" t="s">
        <v>1223</v>
      </c>
      <c r="B25" s="94" t="s">
        <v>1224</v>
      </c>
      <c r="C25" s="94" t="s">
        <v>1162</v>
      </c>
      <c r="D25" s="94" t="s">
        <v>194</v>
      </c>
      <c r="E25" s="95" t="s">
        <v>21</v>
      </c>
      <c r="F25" s="93" t="s">
        <v>1225</v>
      </c>
    </row>
    <row r="26" spans="1:6" ht="28" x14ac:dyDescent="0.3">
      <c r="A26" s="94" t="s">
        <v>1226</v>
      </c>
      <c r="B26" s="94" t="s">
        <v>1227</v>
      </c>
      <c r="C26" s="94" t="s">
        <v>1162</v>
      </c>
      <c r="D26" s="94" t="s">
        <v>194</v>
      </c>
      <c r="E26" s="95" t="s">
        <v>21</v>
      </c>
      <c r="F26" s="93" t="s">
        <v>1228</v>
      </c>
    </row>
    <row r="27" spans="1:6" ht="28" x14ac:dyDescent="0.3">
      <c r="A27" s="94" t="s">
        <v>1229</v>
      </c>
      <c r="B27" s="94" t="s">
        <v>1230</v>
      </c>
      <c r="C27" s="94" t="s">
        <v>1162</v>
      </c>
      <c r="D27" s="94" t="s">
        <v>194</v>
      </c>
      <c r="E27" s="95" t="s">
        <v>21</v>
      </c>
      <c r="F27" s="93" t="s">
        <v>1231</v>
      </c>
    </row>
    <row r="28" spans="1:6" ht="28" x14ac:dyDescent="0.3">
      <c r="A28" s="94" t="s">
        <v>1232</v>
      </c>
      <c r="B28" s="94" t="s">
        <v>613</v>
      </c>
      <c r="C28" s="94" t="s">
        <v>1162</v>
      </c>
      <c r="D28" s="94" t="s">
        <v>194</v>
      </c>
      <c r="E28" s="95" t="s">
        <v>21</v>
      </c>
      <c r="F28" s="93" t="s">
        <v>1233</v>
      </c>
    </row>
    <row r="29" spans="1:6" ht="28" x14ac:dyDescent="0.3">
      <c r="A29" s="94" t="s">
        <v>1234</v>
      </c>
      <c r="B29" s="94" t="s">
        <v>620</v>
      </c>
      <c r="C29" s="94" t="s">
        <v>1162</v>
      </c>
      <c r="D29" s="94" t="s">
        <v>194</v>
      </c>
      <c r="E29" s="95" t="s">
        <v>21</v>
      </c>
      <c r="F29" s="93" t="s">
        <v>1235</v>
      </c>
    </row>
    <row r="30" spans="1:6" ht="28" x14ac:dyDescent="0.3">
      <c r="A30" s="94" t="s">
        <v>1236</v>
      </c>
      <c r="B30" s="94" t="s">
        <v>1237</v>
      </c>
      <c r="C30" s="94" t="s">
        <v>1162</v>
      </c>
      <c r="D30" s="94" t="s">
        <v>194</v>
      </c>
      <c r="E30" s="95" t="s">
        <v>21</v>
      </c>
      <c r="F30" s="93" t="s">
        <v>1238</v>
      </c>
    </row>
    <row r="31" spans="1:6" ht="28" x14ac:dyDescent="0.3">
      <c r="A31" s="94" t="s">
        <v>1239</v>
      </c>
      <c r="B31" s="94" t="s">
        <v>634</v>
      </c>
      <c r="C31" s="94" t="s">
        <v>1162</v>
      </c>
      <c r="D31" s="94" t="s">
        <v>194</v>
      </c>
      <c r="E31" s="95" t="s">
        <v>21</v>
      </c>
      <c r="F31" s="93" t="s">
        <v>1240</v>
      </c>
    </row>
    <row r="32" spans="1:6" ht="42" x14ac:dyDescent="0.3">
      <c r="A32" s="96" t="s">
        <v>1241</v>
      </c>
      <c r="B32" s="96" t="s">
        <v>641</v>
      </c>
      <c r="C32" s="96" t="s">
        <v>1162</v>
      </c>
      <c r="D32" s="96" t="s">
        <v>194</v>
      </c>
      <c r="E32" s="97" t="s">
        <v>21</v>
      </c>
      <c r="F32" s="93" t="s">
        <v>1242</v>
      </c>
    </row>
    <row r="33" spans="1:6" ht="42" x14ac:dyDescent="0.3">
      <c r="A33" s="96" t="s">
        <v>1243</v>
      </c>
      <c r="B33" s="96" t="s">
        <v>1244</v>
      </c>
      <c r="C33" s="96" t="s">
        <v>1162</v>
      </c>
      <c r="D33" s="96" t="s">
        <v>194</v>
      </c>
      <c r="E33" s="97" t="s">
        <v>21</v>
      </c>
      <c r="F33" s="93" t="s">
        <v>1245</v>
      </c>
    </row>
    <row r="34" spans="1:6" ht="28" x14ac:dyDescent="0.3">
      <c r="A34" s="96" t="s">
        <v>1246</v>
      </c>
      <c r="B34" s="96" t="s">
        <v>1247</v>
      </c>
      <c r="C34" s="96" t="s">
        <v>1162</v>
      </c>
      <c r="D34" s="96" t="s">
        <v>194</v>
      </c>
      <c r="E34" s="97" t="s">
        <v>21</v>
      </c>
      <c r="F34" s="93" t="s">
        <v>1248</v>
      </c>
    </row>
    <row r="35" spans="1:6" ht="28" x14ac:dyDescent="0.3">
      <c r="A35" s="96" t="s">
        <v>1249</v>
      </c>
      <c r="B35" s="96" t="s">
        <v>1250</v>
      </c>
      <c r="C35" s="96" t="s">
        <v>1162</v>
      </c>
      <c r="D35" s="96" t="s">
        <v>194</v>
      </c>
      <c r="E35" s="97" t="s">
        <v>21</v>
      </c>
      <c r="F35" s="93" t="s">
        <v>1251</v>
      </c>
    </row>
    <row r="36" spans="1:6" ht="28" x14ac:dyDescent="0.3">
      <c r="A36" s="96" t="s">
        <v>1252</v>
      </c>
      <c r="B36" s="96" t="s">
        <v>647</v>
      </c>
      <c r="C36" s="96" t="s">
        <v>1162</v>
      </c>
      <c r="D36" s="96" t="s">
        <v>194</v>
      </c>
      <c r="E36" s="97" t="s">
        <v>21</v>
      </c>
      <c r="F36" s="93" t="s">
        <v>1253</v>
      </c>
    </row>
    <row r="37" spans="1:6" ht="28" x14ac:dyDescent="0.3">
      <c r="A37" s="96" t="s">
        <v>1254</v>
      </c>
      <c r="B37" s="96" t="s">
        <v>657</v>
      </c>
      <c r="C37" s="96" t="s">
        <v>1162</v>
      </c>
      <c r="D37" s="96" t="s">
        <v>194</v>
      </c>
      <c r="E37" s="97" t="s">
        <v>21</v>
      </c>
      <c r="F37" s="93" t="s">
        <v>1255</v>
      </c>
    </row>
    <row r="38" spans="1:6" ht="28" x14ac:dyDescent="0.3">
      <c r="A38" s="96" t="s">
        <v>1256</v>
      </c>
      <c r="B38" s="96" t="s">
        <v>664</v>
      </c>
      <c r="C38" s="96" t="s">
        <v>1162</v>
      </c>
      <c r="D38" s="96" t="s">
        <v>194</v>
      </c>
      <c r="E38" s="97" t="s">
        <v>21</v>
      </c>
      <c r="F38" s="93" t="s">
        <v>1257</v>
      </c>
    </row>
    <row r="39" spans="1:6" ht="28" x14ac:dyDescent="0.3">
      <c r="A39" s="96" t="s">
        <v>1258</v>
      </c>
      <c r="B39" s="96" t="s">
        <v>671</v>
      </c>
      <c r="C39" s="96" t="s">
        <v>1162</v>
      </c>
      <c r="D39" s="96" t="s">
        <v>194</v>
      </c>
      <c r="E39" s="97" t="s">
        <v>21</v>
      </c>
      <c r="F39" s="93" t="s">
        <v>1259</v>
      </c>
    </row>
    <row r="40" spans="1:6" ht="28" x14ac:dyDescent="0.3">
      <c r="A40" s="96" t="s">
        <v>1260</v>
      </c>
      <c r="B40" s="96" t="s">
        <v>677</v>
      </c>
      <c r="C40" s="96" t="s">
        <v>1162</v>
      </c>
      <c r="D40" s="96" t="s">
        <v>194</v>
      </c>
      <c r="E40" s="97" t="s">
        <v>21</v>
      </c>
      <c r="F40" s="93" t="s">
        <v>1261</v>
      </c>
    </row>
    <row r="41" spans="1:6" ht="28" x14ac:dyDescent="0.3">
      <c r="A41" s="96" t="s">
        <v>1262</v>
      </c>
      <c r="B41" s="96" t="s">
        <v>686</v>
      </c>
      <c r="C41" s="96" t="s">
        <v>1162</v>
      </c>
      <c r="D41" s="96" t="s">
        <v>194</v>
      </c>
      <c r="E41" s="97" t="s">
        <v>21</v>
      </c>
      <c r="F41" s="93" t="s">
        <v>1263</v>
      </c>
    </row>
    <row r="42" spans="1:6" ht="42" x14ac:dyDescent="0.3">
      <c r="A42" s="96" t="s">
        <v>1264</v>
      </c>
      <c r="B42" s="96" t="s">
        <v>1265</v>
      </c>
      <c r="C42" s="96" t="s">
        <v>1162</v>
      </c>
      <c r="D42" s="96" t="s">
        <v>194</v>
      </c>
      <c r="E42" s="97" t="s">
        <v>21</v>
      </c>
      <c r="F42" s="93" t="s">
        <v>1266</v>
      </c>
    </row>
    <row r="43" spans="1:6" ht="42" x14ac:dyDescent="0.3">
      <c r="A43" s="96" t="s">
        <v>1267</v>
      </c>
      <c r="B43" s="96" t="s">
        <v>1268</v>
      </c>
      <c r="C43" s="96" t="s">
        <v>1162</v>
      </c>
      <c r="D43" s="96" t="s">
        <v>194</v>
      </c>
      <c r="E43" s="97" t="s">
        <v>21</v>
      </c>
      <c r="F43" s="93" t="s">
        <v>1269</v>
      </c>
    </row>
    <row r="44" spans="1:6" ht="28" x14ac:dyDescent="0.3">
      <c r="A44" s="96" t="s">
        <v>1270</v>
      </c>
      <c r="B44" s="96" t="s">
        <v>692</v>
      </c>
      <c r="C44" s="96" t="s">
        <v>1162</v>
      </c>
      <c r="D44" s="96" t="s">
        <v>194</v>
      </c>
      <c r="E44" s="97" t="s">
        <v>21</v>
      </c>
      <c r="F44" s="93" t="s">
        <v>1271</v>
      </c>
    </row>
    <row r="45" spans="1:6" ht="28" x14ac:dyDescent="0.3">
      <c r="A45" s="96" t="s">
        <v>1272</v>
      </c>
      <c r="B45" s="96" t="s">
        <v>1273</v>
      </c>
      <c r="C45" s="96" t="s">
        <v>1162</v>
      </c>
      <c r="D45" s="96" t="s">
        <v>194</v>
      </c>
      <c r="E45" s="97" t="s">
        <v>21</v>
      </c>
      <c r="F45" s="93" t="s">
        <v>1274</v>
      </c>
    </row>
    <row r="46" spans="1:6" ht="28" x14ac:dyDescent="0.3">
      <c r="A46" s="96" t="s">
        <v>1275</v>
      </c>
      <c r="B46" s="96" t="s">
        <v>1276</v>
      </c>
      <c r="C46" s="96" t="s">
        <v>1162</v>
      </c>
      <c r="D46" s="96" t="s">
        <v>194</v>
      </c>
      <c r="E46" s="97" t="s">
        <v>21</v>
      </c>
      <c r="F46" s="93" t="s">
        <v>1277</v>
      </c>
    </row>
    <row r="47" spans="1:6" ht="28" x14ac:dyDescent="0.3">
      <c r="A47" s="96" t="s">
        <v>1278</v>
      </c>
      <c r="B47" s="96" t="s">
        <v>1279</v>
      </c>
      <c r="C47" s="96" t="s">
        <v>1162</v>
      </c>
      <c r="D47" s="96" t="s">
        <v>194</v>
      </c>
      <c r="E47" s="97" t="s">
        <v>21</v>
      </c>
      <c r="F47" s="93" t="s">
        <v>1280</v>
      </c>
    </row>
    <row r="48" spans="1:6" ht="28" x14ac:dyDescent="0.3">
      <c r="A48" s="96" t="s">
        <v>1281</v>
      </c>
      <c r="B48" s="96" t="s">
        <v>1282</v>
      </c>
      <c r="C48" s="96" t="s">
        <v>1162</v>
      </c>
      <c r="D48" s="96" t="s">
        <v>194</v>
      </c>
      <c r="E48" s="97" t="s">
        <v>21</v>
      </c>
      <c r="F48" s="93" t="s">
        <v>1283</v>
      </c>
    </row>
    <row r="49" spans="1:6" ht="28" x14ac:dyDescent="0.3">
      <c r="A49" s="96" t="s">
        <v>1284</v>
      </c>
      <c r="B49" s="96" t="s">
        <v>1285</v>
      </c>
      <c r="C49" s="96" t="s">
        <v>1162</v>
      </c>
      <c r="D49" s="96" t="s">
        <v>194</v>
      </c>
      <c r="E49" s="97" t="s">
        <v>21</v>
      </c>
      <c r="F49" s="93" t="s">
        <v>1286</v>
      </c>
    </row>
    <row r="50" spans="1:6" ht="28" x14ac:dyDescent="0.3">
      <c r="A50" s="96" t="s">
        <v>1287</v>
      </c>
      <c r="B50" s="96" t="s">
        <v>1288</v>
      </c>
      <c r="C50" s="96" t="s">
        <v>1162</v>
      </c>
      <c r="D50" s="96" t="s">
        <v>194</v>
      </c>
      <c r="E50" s="97" t="s">
        <v>21</v>
      </c>
      <c r="F50" s="93" t="s">
        <v>1289</v>
      </c>
    </row>
    <row r="51" spans="1:6" ht="28" x14ac:dyDescent="0.3">
      <c r="A51" s="96" t="s">
        <v>1290</v>
      </c>
      <c r="B51" s="96" t="s">
        <v>704</v>
      </c>
      <c r="C51" s="96" t="s">
        <v>1162</v>
      </c>
      <c r="D51" s="96" t="s">
        <v>194</v>
      </c>
      <c r="E51" s="97" t="s">
        <v>21</v>
      </c>
      <c r="F51" s="93" t="s">
        <v>1291</v>
      </c>
    </row>
    <row r="52" spans="1:6" ht="28" x14ac:dyDescent="0.3">
      <c r="A52" s="96" t="s">
        <v>1292</v>
      </c>
      <c r="B52" s="96" t="s">
        <v>1293</v>
      </c>
      <c r="C52" s="96" t="s">
        <v>1162</v>
      </c>
      <c r="D52" s="96" t="s">
        <v>194</v>
      </c>
      <c r="E52" s="97" t="s">
        <v>21</v>
      </c>
      <c r="F52" s="93" t="s">
        <v>1294</v>
      </c>
    </row>
    <row r="53" spans="1:6" ht="28" x14ac:dyDescent="0.3">
      <c r="A53" s="96" t="s">
        <v>1295</v>
      </c>
      <c r="B53" s="96" t="s">
        <v>1296</v>
      </c>
      <c r="C53" s="96" t="s">
        <v>1162</v>
      </c>
      <c r="D53" s="96" t="s">
        <v>194</v>
      </c>
      <c r="E53" s="97" t="s">
        <v>21</v>
      </c>
      <c r="F53" s="93" t="s">
        <v>1297</v>
      </c>
    </row>
    <row r="54" spans="1:6" ht="28" x14ac:dyDescent="0.3">
      <c r="A54" s="96" t="s">
        <v>1298</v>
      </c>
      <c r="B54" s="96" t="s">
        <v>1299</v>
      </c>
      <c r="C54" s="96" t="s">
        <v>1162</v>
      </c>
      <c r="D54" s="96" t="s">
        <v>194</v>
      </c>
      <c r="E54" s="97" t="s">
        <v>21</v>
      </c>
      <c r="F54" s="93" t="s">
        <v>1300</v>
      </c>
    </row>
    <row r="55" spans="1:6" ht="28" x14ac:dyDescent="0.3">
      <c r="A55" s="96" t="s">
        <v>1301</v>
      </c>
      <c r="B55" s="96" t="s">
        <v>1302</v>
      </c>
      <c r="C55" s="96" t="s">
        <v>1162</v>
      </c>
      <c r="D55" s="96" t="s">
        <v>194</v>
      </c>
      <c r="E55" s="97" t="s">
        <v>21</v>
      </c>
      <c r="F55" s="93" t="s">
        <v>1303</v>
      </c>
    </row>
    <row r="56" spans="1:6" ht="28" x14ac:dyDescent="0.3">
      <c r="A56" s="96" t="s">
        <v>1304</v>
      </c>
      <c r="B56" s="96" t="s">
        <v>1305</v>
      </c>
      <c r="C56" s="96" t="s">
        <v>1162</v>
      </c>
      <c r="D56" s="96" t="s">
        <v>194</v>
      </c>
      <c r="E56" s="97" t="s">
        <v>21</v>
      </c>
      <c r="F56" s="93" t="s">
        <v>1306</v>
      </c>
    </row>
    <row r="57" spans="1:6" ht="28" x14ac:dyDescent="0.3">
      <c r="A57" s="96" t="s">
        <v>1307</v>
      </c>
      <c r="B57" s="96" t="s">
        <v>1308</v>
      </c>
      <c r="C57" s="96" t="s">
        <v>1162</v>
      </c>
      <c r="D57" s="96" t="s">
        <v>194</v>
      </c>
      <c r="E57" s="97" t="s">
        <v>21</v>
      </c>
      <c r="F57" s="93" t="s">
        <v>1309</v>
      </c>
    </row>
    <row r="58" spans="1:6" ht="28" x14ac:dyDescent="0.3">
      <c r="A58" s="96" t="s">
        <v>1310</v>
      </c>
      <c r="B58" s="96" t="s">
        <v>1311</v>
      </c>
      <c r="C58" s="96" t="s">
        <v>1162</v>
      </c>
      <c r="D58" s="96" t="s">
        <v>194</v>
      </c>
      <c r="E58" s="97" t="s">
        <v>21</v>
      </c>
      <c r="F58" s="93" t="s">
        <v>1312</v>
      </c>
    </row>
    <row r="59" spans="1:6" ht="28" x14ac:dyDescent="0.3">
      <c r="A59" s="96" t="s">
        <v>1313</v>
      </c>
      <c r="B59" s="96" t="s">
        <v>1314</v>
      </c>
      <c r="C59" s="96" t="s">
        <v>1162</v>
      </c>
      <c r="D59" s="96" t="s">
        <v>194</v>
      </c>
      <c r="E59" s="97" t="s">
        <v>21</v>
      </c>
      <c r="F59" s="93" t="s">
        <v>1315</v>
      </c>
    </row>
    <row r="60" spans="1:6" ht="42" x14ac:dyDescent="0.3">
      <c r="A60" s="96" t="s">
        <v>1316</v>
      </c>
      <c r="B60" s="96" t="s">
        <v>1317</v>
      </c>
      <c r="C60" s="96" t="s">
        <v>1162</v>
      </c>
      <c r="D60" s="96" t="s">
        <v>194</v>
      </c>
      <c r="E60" s="97" t="s">
        <v>22</v>
      </c>
      <c r="F60" s="93" t="s">
        <v>1318</v>
      </c>
    </row>
    <row r="61" spans="1:6" ht="28" x14ac:dyDescent="0.3">
      <c r="A61" s="96" t="s">
        <v>1319</v>
      </c>
      <c r="B61" s="96" t="s">
        <v>1320</v>
      </c>
      <c r="C61" s="96" t="s">
        <v>1162</v>
      </c>
      <c r="D61" s="96" t="s">
        <v>194</v>
      </c>
      <c r="E61" s="97" t="s">
        <v>22</v>
      </c>
      <c r="F61" s="93" t="s">
        <v>1321</v>
      </c>
    </row>
    <row r="62" spans="1:6" ht="28" x14ac:dyDescent="0.3">
      <c r="A62" s="96" t="s">
        <v>1322</v>
      </c>
      <c r="B62" s="96" t="s">
        <v>1323</v>
      </c>
      <c r="C62" s="96" t="s">
        <v>1162</v>
      </c>
      <c r="D62" s="96" t="s">
        <v>194</v>
      </c>
      <c r="E62" s="97" t="s">
        <v>22</v>
      </c>
      <c r="F62" s="93" t="s">
        <v>1324</v>
      </c>
    </row>
    <row r="63" spans="1:6" ht="42" x14ac:dyDescent="0.3">
      <c r="A63" s="96" t="s">
        <v>1325</v>
      </c>
      <c r="B63" s="96" t="s">
        <v>1326</v>
      </c>
      <c r="C63" s="96" t="s">
        <v>1162</v>
      </c>
      <c r="D63" s="96" t="s">
        <v>194</v>
      </c>
      <c r="E63" s="97" t="s">
        <v>21</v>
      </c>
      <c r="F63" s="93" t="s">
        <v>1327</v>
      </c>
    </row>
    <row r="64" spans="1:6" ht="42" x14ac:dyDescent="0.3">
      <c r="A64" s="96" t="s">
        <v>1328</v>
      </c>
      <c r="B64" s="96" t="s">
        <v>1329</v>
      </c>
      <c r="C64" s="96" t="s">
        <v>1162</v>
      </c>
      <c r="D64" s="96" t="s">
        <v>194</v>
      </c>
      <c r="E64" s="97" t="s">
        <v>21</v>
      </c>
      <c r="F64" s="93" t="s">
        <v>1330</v>
      </c>
    </row>
    <row r="65" spans="1:6" ht="28" x14ac:dyDescent="0.3">
      <c r="A65" s="96" t="s">
        <v>1331</v>
      </c>
      <c r="B65" s="96" t="s">
        <v>1332</v>
      </c>
      <c r="C65" s="96" t="s">
        <v>1162</v>
      </c>
      <c r="D65" s="96" t="s">
        <v>194</v>
      </c>
      <c r="E65" s="97" t="s">
        <v>21</v>
      </c>
      <c r="F65" s="93" t="s">
        <v>1333</v>
      </c>
    </row>
    <row r="66" spans="1:6" ht="28" x14ac:dyDescent="0.3">
      <c r="A66" s="96" t="s">
        <v>1334</v>
      </c>
      <c r="B66" s="96" t="s">
        <v>1335</v>
      </c>
      <c r="C66" s="96" t="s">
        <v>1162</v>
      </c>
      <c r="D66" s="96" t="s">
        <v>194</v>
      </c>
      <c r="E66" s="97" t="s">
        <v>21</v>
      </c>
      <c r="F66" s="93" t="s">
        <v>1336</v>
      </c>
    </row>
    <row r="67" spans="1:6" ht="28" x14ac:dyDescent="0.3">
      <c r="A67" s="96" t="s">
        <v>1337</v>
      </c>
      <c r="B67" s="96" t="s">
        <v>1338</v>
      </c>
      <c r="C67" s="96" t="s">
        <v>1162</v>
      </c>
      <c r="D67" s="96" t="s">
        <v>194</v>
      </c>
      <c r="E67" s="97" t="s">
        <v>21</v>
      </c>
      <c r="F67" s="93" t="s">
        <v>1339</v>
      </c>
    </row>
    <row r="68" spans="1:6" ht="28" x14ac:dyDescent="0.3">
      <c r="A68" s="96" t="s">
        <v>1340</v>
      </c>
      <c r="B68" s="96" t="s">
        <v>801</v>
      </c>
      <c r="C68" s="96" t="s">
        <v>1162</v>
      </c>
      <c r="D68" s="96" t="s">
        <v>194</v>
      </c>
      <c r="E68" s="97" t="s">
        <v>21</v>
      </c>
      <c r="F68" s="93" t="s">
        <v>1341</v>
      </c>
    </row>
    <row r="69" spans="1:6" ht="28" x14ac:dyDescent="0.3">
      <c r="A69" s="96" t="s">
        <v>1342</v>
      </c>
      <c r="B69" s="96" t="s">
        <v>709</v>
      </c>
      <c r="C69" s="96" t="s">
        <v>1162</v>
      </c>
      <c r="D69" s="96" t="s">
        <v>194</v>
      </c>
      <c r="E69" s="97" t="s">
        <v>21</v>
      </c>
      <c r="F69" s="93" t="s">
        <v>1343</v>
      </c>
    </row>
    <row r="70" spans="1:6" ht="28" x14ac:dyDescent="0.3">
      <c r="A70" s="96" t="s">
        <v>1344</v>
      </c>
      <c r="B70" s="96" t="s">
        <v>1345</v>
      </c>
      <c r="C70" s="96" t="s">
        <v>1162</v>
      </c>
      <c r="D70" s="96" t="s">
        <v>194</v>
      </c>
      <c r="E70" s="97" t="s">
        <v>21</v>
      </c>
      <c r="F70" s="93" t="s">
        <v>1346</v>
      </c>
    </row>
    <row r="71" spans="1:6" ht="28" x14ac:dyDescent="0.3">
      <c r="A71" s="96" t="s">
        <v>1347</v>
      </c>
      <c r="B71" s="96" t="s">
        <v>1348</v>
      </c>
      <c r="C71" s="96" t="s">
        <v>1162</v>
      </c>
      <c r="D71" s="96" t="s">
        <v>194</v>
      </c>
      <c r="E71" s="97" t="s">
        <v>21</v>
      </c>
      <c r="F71" s="93" t="s">
        <v>1349</v>
      </c>
    </row>
    <row r="72" spans="1:6" ht="28" x14ac:dyDescent="0.3">
      <c r="A72" s="96" t="s">
        <v>1350</v>
      </c>
      <c r="B72" s="96" t="s">
        <v>713</v>
      </c>
      <c r="C72" s="96" t="s">
        <v>1162</v>
      </c>
      <c r="D72" s="96" t="s">
        <v>194</v>
      </c>
      <c r="E72" s="97" t="s">
        <v>21</v>
      </c>
      <c r="F72" s="93" t="s">
        <v>1351</v>
      </c>
    </row>
    <row r="73" spans="1:6" ht="42" x14ac:dyDescent="0.3">
      <c r="A73" s="96" t="s">
        <v>1352</v>
      </c>
      <c r="B73" s="96" t="s">
        <v>724</v>
      </c>
      <c r="C73" s="96" t="s">
        <v>1162</v>
      </c>
      <c r="D73" s="96" t="s">
        <v>194</v>
      </c>
      <c r="E73" s="97" t="s">
        <v>21</v>
      </c>
      <c r="F73" s="93" t="s">
        <v>1353</v>
      </c>
    </row>
    <row r="74" spans="1:6" ht="42" x14ac:dyDescent="0.3">
      <c r="A74" s="96" t="s">
        <v>1354</v>
      </c>
      <c r="B74" s="96" t="s">
        <v>735</v>
      </c>
      <c r="C74" s="96" t="s">
        <v>1162</v>
      </c>
      <c r="D74" s="96" t="s">
        <v>194</v>
      </c>
      <c r="E74" s="97" t="s">
        <v>21</v>
      </c>
      <c r="F74" s="93" t="s">
        <v>1355</v>
      </c>
    </row>
    <row r="75" spans="1:6" ht="28" x14ac:dyDescent="0.3">
      <c r="A75" s="96" t="s">
        <v>1356</v>
      </c>
      <c r="B75" s="96" t="s">
        <v>1357</v>
      </c>
      <c r="C75" s="96" t="s">
        <v>1162</v>
      </c>
      <c r="D75" s="96" t="s">
        <v>194</v>
      </c>
      <c r="E75" s="97" t="s">
        <v>21</v>
      </c>
      <c r="F75" s="93" t="s">
        <v>1358</v>
      </c>
    </row>
    <row r="76" spans="1:6" ht="28" x14ac:dyDescent="0.3">
      <c r="A76" s="96" t="s">
        <v>1359</v>
      </c>
      <c r="B76" s="96" t="s">
        <v>747</v>
      </c>
      <c r="C76" s="96" t="s">
        <v>1162</v>
      </c>
      <c r="D76" s="96" t="s">
        <v>194</v>
      </c>
      <c r="E76" s="97" t="s">
        <v>21</v>
      </c>
      <c r="F76" s="93" t="s">
        <v>1360</v>
      </c>
    </row>
    <row r="77" spans="1:6" ht="28" x14ac:dyDescent="0.3">
      <c r="A77" s="96" t="s">
        <v>1361</v>
      </c>
      <c r="B77" s="96" t="s">
        <v>757</v>
      </c>
      <c r="C77" s="96" t="s">
        <v>1162</v>
      </c>
      <c r="D77" s="96" t="s">
        <v>194</v>
      </c>
      <c r="E77" s="97" t="s">
        <v>21</v>
      </c>
      <c r="F77" s="93" t="s">
        <v>1362</v>
      </c>
    </row>
    <row r="78" spans="1:6" ht="28" x14ac:dyDescent="0.3">
      <c r="A78" s="96" t="s">
        <v>1363</v>
      </c>
      <c r="B78" s="96" t="s">
        <v>764</v>
      </c>
      <c r="C78" s="96" t="s">
        <v>1162</v>
      </c>
      <c r="D78" s="96" t="s">
        <v>194</v>
      </c>
      <c r="E78" s="97" t="s">
        <v>21</v>
      </c>
      <c r="F78" s="93" t="s">
        <v>1364</v>
      </c>
    </row>
    <row r="79" spans="1:6" ht="28" x14ac:dyDescent="0.3">
      <c r="A79" s="96" t="s">
        <v>1365</v>
      </c>
      <c r="B79" s="96" t="s">
        <v>1366</v>
      </c>
      <c r="C79" s="96" t="s">
        <v>1162</v>
      </c>
      <c r="D79" s="96" t="s">
        <v>194</v>
      </c>
      <c r="E79" s="97" t="s">
        <v>21</v>
      </c>
      <c r="F79" s="93" t="s">
        <v>1367</v>
      </c>
    </row>
    <row r="80" spans="1:6" ht="28" x14ac:dyDescent="0.3">
      <c r="A80" s="96" t="s">
        <v>1368</v>
      </c>
      <c r="B80" s="96" t="s">
        <v>810</v>
      </c>
      <c r="C80" s="96" t="s">
        <v>1162</v>
      </c>
      <c r="D80" s="96" t="s">
        <v>194</v>
      </c>
      <c r="E80" s="97" t="s">
        <v>21</v>
      </c>
      <c r="F80" s="93" t="s">
        <v>1369</v>
      </c>
    </row>
    <row r="81" spans="1:6" ht="28" x14ac:dyDescent="0.3">
      <c r="A81" s="96" t="s">
        <v>1370</v>
      </c>
      <c r="B81" s="96" t="s">
        <v>1371</v>
      </c>
      <c r="C81" s="96" t="s">
        <v>1162</v>
      </c>
      <c r="D81" s="96" t="s">
        <v>194</v>
      </c>
      <c r="E81" s="97" t="s">
        <v>21</v>
      </c>
      <c r="F81" s="93" t="s">
        <v>1372</v>
      </c>
    </row>
    <row r="82" spans="1:6" ht="28" x14ac:dyDescent="0.3">
      <c r="A82" s="96" t="s">
        <v>1373</v>
      </c>
      <c r="B82" s="96" t="s">
        <v>1374</v>
      </c>
      <c r="C82" s="96" t="s">
        <v>1162</v>
      </c>
      <c r="D82" s="96" t="s">
        <v>194</v>
      </c>
      <c r="E82" s="97" t="s">
        <v>21</v>
      </c>
      <c r="F82" s="93" t="s">
        <v>1375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824F8-C984-4285-83B7-502401DF2A01}">
  <dimension ref="A1:F445"/>
  <sheetViews>
    <sheetView workbookViewId="0">
      <selection activeCell="C43" sqref="C43"/>
    </sheetView>
  </sheetViews>
  <sheetFormatPr defaultColWidth="8.58203125" defaultRowHeight="14" x14ac:dyDescent="0.3"/>
  <cols>
    <col min="1" max="1" width="30.33203125" customWidth="1"/>
    <col min="2" max="2" width="14.08203125" customWidth="1"/>
    <col min="3" max="3" width="25.33203125" customWidth="1"/>
    <col min="4" max="4" width="20.58203125" customWidth="1"/>
    <col min="5" max="5" width="20.58203125" style="1" customWidth="1"/>
    <col min="6" max="6" width="17.58203125" customWidth="1"/>
  </cols>
  <sheetData>
    <row r="1" spans="1:6" x14ac:dyDescent="0.3">
      <c r="A1" t="s">
        <v>0</v>
      </c>
      <c r="B1" t="s">
        <v>1376</v>
      </c>
    </row>
    <row r="2" spans="1:6" x14ac:dyDescent="0.3">
      <c r="A2" t="s">
        <v>1</v>
      </c>
      <c r="B2" t="s">
        <v>100</v>
      </c>
    </row>
    <row r="3" spans="1:6" x14ac:dyDescent="0.3">
      <c r="A3" t="s">
        <v>2</v>
      </c>
      <c r="B3" t="s">
        <v>3</v>
      </c>
      <c r="C3" t="s">
        <v>5</v>
      </c>
      <c r="D3" t="s">
        <v>6</v>
      </c>
      <c r="E3" s="1" t="s">
        <v>4</v>
      </c>
    </row>
    <row r="4" spans="1:6" ht="112" x14ac:dyDescent="0.3">
      <c r="A4" s="94" t="s">
        <v>1377</v>
      </c>
      <c r="B4" s="94" t="s">
        <v>1378</v>
      </c>
      <c r="C4" s="94" t="s">
        <v>1379</v>
      </c>
      <c r="D4" s="94" t="s">
        <v>9</v>
      </c>
      <c r="E4" s="95" t="s">
        <v>22</v>
      </c>
      <c r="F4" s="98" t="s">
        <v>1380</v>
      </c>
    </row>
    <row r="5" spans="1:6" ht="42" x14ac:dyDescent="0.3">
      <c r="A5" s="94"/>
      <c r="B5" s="94"/>
      <c r="C5" s="94" t="s">
        <v>1381</v>
      </c>
      <c r="D5" s="94" t="s">
        <v>775</v>
      </c>
      <c r="E5" s="95" t="s">
        <v>21</v>
      </c>
      <c r="F5" s="98" t="s">
        <v>1382</v>
      </c>
    </row>
    <row r="6" spans="1:6" ht="42" x14ac:dyDescent="0.3">
      <c r="A6" s="94"/>
      <c r="B6" s="94"/>
      <c r="C6" s="94" t="s">
        <v>1383</v>
      </c>
      <c r="D6" s="94" t="s">
        <v>51</v>
      </c>
      <c r="E6" s="95" t="s">
        <v>22</v>
      </c>
      <c r="F6" s="98" t="s">
        <v>1384</v>
      </c>
    </row>
    <row r="7" spans="1:6" ht="70" x14ac:dyDescent="0.3">
      <c r="A7" s="94"/>
      <c r="B7" s="94"/>
      <c r="C7" s="94" t="s">
        <v>1385</v>
      </c>
      <c r="D7" s="94" t="s">
        <v>194</v>
      </c>
      <c r="E7" s="95" t="s">
        <v>21</v>
      </c>
      <c r="F7" s="98" t="s">
        <v>1386</v>
      </c>
    </row>
    <row r="8" spans="1:6" ht="112" x14ac:dyDescent="0.3">
      <c r="A8" s="99" t="s">
        <v>1387</v>
      </c>
      <c r="B8" s="99" t="s">
        <v>1388</v>
      </c>
      <c r="C8" s="99" t="s">
        <v>1379</v>
      </c>
      <c r="D8" s="99" t="s">
        <v>9</v>
      </c>
      <c r="E8" s="100" t="s">
        <v>22</v>
      </c>
      <c r="F8" s="101" t="s">
        <v>1380</v>
      </c>
    </row>
    <row r="9" spans="1:6" ht="28" x14ac:dyDescent="0.3">
      <c r="A9" s="99"/>
      <c r="B9" s="99"/>
      <c r="C9" s="99" t="s">
        <v>1381</v>
      </c>
      <c r="D9" s="99" t="s">
        <v>775</v>
      </c>
      <c r="E9" s="100" t="s">
        <v>21</v>
      </c>
      <c r="F9" s="101" t="s">
        <v>1389</v>
      </c>
    </row>
    <row r="10" spans="1:6" ht="28" x14ac:dyDescent="0.3">
      <c r="A10" s="99"/>
      <c r="B10" s="99"/>
      <c r="C10" s="99" t="s">
        <v>1383</v>
      </c>
      <c r="D10" s="99" t="s">
        <v>51</v>
      </c>
      <c r="E10" s="100" t="s">
        <v>22</v>
      </c>
      <c r="F10" s="101" t="s">
        <v>1390</v>
      </c>
    </row>
    <row r="11" spans="1:6" ht="56" x14ac:dyDescent="0.3">
      <c r="A11" s="99"/>
      <c r="B11" s="99"/>
      <c r="C11" s="99" t="s">
        <v>1385</v>
      </c>
      <c r="D11" s="99" t="s">
        <v>194</v>
      </c>
      <c r="E11" s="100" t="s">
        <v>21</v>
      </c>
      <c r="F11" s="101" t="s">
        <v>1391</v>
      </c>
    </row>
    <row r="12" spans="1:6" ht="112" x14ac:dyDescent="0.3">
      <c r="A12" s="94" t="s">
        <v>1392</v>
      </c>
      <c r="B12" s="94" t="s">
        <v>1393</v>
      </c>
      <c r="C12" s="94" t="s">
        <v>1379</v>
      </c>
      <c r="D12" s="94" t="s">
        <v>9</v>
      </c>
      <c r="E12" s="95" t="s">
        <v>22</v>
      </c>
      <c r="F12" s="98" t="s">
        <v>1380</v>
      </c>
    </row>
    <row r="13" spans="1:6" ht="28" x14ac:dyDescent="0.3">
      <c r="A13" s="94"/>
      <c r="B13" s="94"/>
      <c r="C13" s="94" t="s">
        <v>1381</v>
      </c>
      <c r="D13" s="94" t="s">
        <v>775</v>
      </c>
      <c r="E13" s="95" t="s">
        <v>21</v>
      </c>
      <c r="F13" s="98" t="s">
        <v>1389</v>
      </c>
    </row>
    <row r="14" spans="1:6" ht="28" x14ac:dyDescent="0.3">
      <c r="A14" s="94"/>
      <c r="B14" s="94"/>
      <c r="C14" s="94" t="s">
        <v>1383</v>
      </c>
      <c r="D14" s="94" t="s">
        <v>51</v>
      </c>
      <c r="E14" s="95" t="s">
        <v>22</v>
      </c>
      <c r="F14" s="98" t="s">
        <v>1390</v>
      </c>
    </row>
    <row r="15" spans="1:6" ht="56" x14ac:dyDescent="0.3">
      <c r="A15" s="94"/>
      <c r="B15" s="94"/>
      <c r="C15" s="94" t="s">
        <v>1385</v>
      </c>
      <c r="D15" s="94" t="s">
        <v>194</v>
      </c>
      <c r="E15" s="95" t="s">
        <v>21</v>
      </c>
      <c r="F15" s="98" t="s">
        <v>1391</v>
      </c>
    </row>
    <row r="16" spans="1:6" ht="112" x14ac:dyDescent="0.3">
      <c r="A16" s="99" t="s">
        <v>1394</v>
      </c>
      <c r="B16" s="99" t="s">
        <v>1395</v>
      </c>
      <c r="C16" s="99" t="s">
        <v>1379</v>
      </c>
      <c r="D16" s="99" t="s">
        <v>9</v>
      </c>
      <c r="E16" s="100" t="s">
        <v>22</v>
      </c>
      <c r="F16" s="101" t="s">
        <v>1380</v>
      </c>
    </row>
    <row r="17" spans="1:6" ht="28" x14ac:dyDescent="0.3">
      <c r="A17" s="99"/>
      <c r="B17" s="99"/>
      <c r="C17" s="99" t="s">
        <v>1381</v>
      </c>
      <c r="D17" s="99" t="s">
        <v>775</v>
      </c>
      <c r="E17" s="100" t="s">
        <v>21</v>
      </c>
      <c r="F17" s="101" t="s">
        <v>1389</v>
      </c>
    </row>
    <row r="18" spans="1:6" ht="28" x14ac:dyDescent="0.3">
      <c r="A18" s="99"/>
      <c r="B18" s="99"/>
      <c r="C18" s="99" t="s">
        <v>1383</v>
      </c>
      <c r="D18" s="99" t="s">
        <v>51</v>
      </c>
      <c r="E18" s="100" t="s">
        <v>22</v>
      </c>
      <c r="F18" s="101" t="s">
        <v>1390</v>
      </c>
    </row>
    <row r="19" spans="1:6" ht="56" x14ac:dyDescent="0.3">
      <c r="A19" s="99"/>
      <c r="B19" s="99"/>
      <c r="C19" s="99" t="s">
        <v>1385</v>
      </c>
      <c r="D19" s="99" t="s">
        <v>194</v>
      </c>
      <c r="E19" s="100" t="s">
        <v>21</v>
      </c>
      <c r="F19" s="101" t="s">
        <v>1391</v>
      </c>
    </row>
    <row r="20" spans="1:6" ht="112" x14ac:dyDescent="0.3">
      <c r="A20" s="94" t="s">
        <v>1396</v>
      </c>
      <c r="B20" s="94" t="s">
        <v>1397</v>
      </c>
      <c r="C20" s="94" t="s">
        <v>1379</v>
      </c>
      <c r="D20" s="94" t="s">
        <v>9</v>
      </c>
      <c r="E20" s="95" t="s">
        <v>22</v>
      </c>
      <c r="F20" s="98" t="s">
        <v>1380</v>
      </c>
    </row>
    <row r="21" spans="1:6" ht="28" x14ac:dyDescent="0.3">
      <c r="A21" s="94"/>
      <c r="B21" s="94"/>
      <c r="C21" s="94" t="s">
        <v>1381</v>
      </c>
      <c r="D21" s="94" t="s">
        <v>775</v>
      </c>
      <c r="E21" s="95" t="s">
        <v>21</v>
      </c>
      <c r="F21" s="98" t="s">
        <v>1389</v>
      </c>
    </row>
    <row r="22" spans="1:6" ht="28" x14ac:dyDescent="0.3">
      <c r="A22" s="94"/>
      <c r="B22" s="94"/>
      <c r="C22" s="94" t="s">
        <v>1383</v>
      </c>
      <c r="D22" s="94" t="s">
        <v>51</v>
      </c>
      <c r="E22" s="95" t="s">
        <v>22</v>
      </c>
      <c r="F22" s="98" t="s">
        <v>1390</v>
      </c>
    </row>
    <row r="23" spans="1:6" ht="56" x14ac:dyDescent="0.3">
      <c r="A23" s="94"/>
      <c r="B23" s="94"/>
      <c r="C23" s="94" t="s">
        <v>1385</v>
      </c>
      <c r="D23" s="94" t="s">
        <v>194</v>
      </c>
      <c r="E23" s="95" t="s">
        <v>21</v>
      </c>
      <c r="F23" s="98" t="s">
        <v>1391</v>
      </c>
    </row>
    <row r="24" spans="1:6" ht="112" x14ac:dyDescent="0.3">
      <c r="A24" s="99" t="s">
        <v>1398</v>
      </c>
      <c r="B24" s="99" t="s">
        <v>1399</v>
      </c>
      <c r="C24" s="99" t="s">
        <v>1379</v>
      </c>
      <c r="D24" s="99" t="s">
        <v>9</v>
      </c>
      <c r="E24" s="100" t="s">
        <v>22</v>
      </c>
      <c r="F24" s="101" t="s">
        <v>1380</v>
      </c>
    </row>
    <row r="25" spans="1:6" ht="28" x14ac:dyDescent="0.3">
      <c r="A25" s="99"/>
      <c r="B25" s="99"/>
      <c r="C25" s="99" t="s">
        <v>1381</v>
      </c>
      <c r="D25" s="99" t="s">
        <v>775</v>
      </c>
      <c r="E25" s="100" t="s">
        <v>21</v>
      </c>
      <c r="F25" s="101" t="s">
        <v>1389</v>
      </c>
    </row>
    <row r="26" spans="1:6" ht="28" x14ac:dyDescent="0.3">
      <c r="A26" s="99"/>
      <c r="B26" s="99"/>
      <c r="C26" s="99" t="s">
        <v>1383</v>
      </c>
      <c r="D26" s="99" t="s">
        <v>51</v>
      </c>
      <c r="E26" s="100" t="s">
        <v>22</v>
      </c>
      <c r="F26" s="101" t="s">
        <v>1390</v>
      </c>
    </row>
    <row r="27" spans="1:6" ht="56" x14ac:dyDescent="0.3">
      <c r="A27" s="99"/>
      <c r="B27" s="99"/>
      <c r="C27" s="99" t="s">
        <v>1385</v>
      </c>
      <c r="D27" s="99" t="s">
        <v>194</v>
      </c>
      <c r="E27" s="100" t="s">
        <v>21</v>
      </c>
      <c r="F27" s="101" t="s">
        <v>1391</v>
      </c>
    </row>
    <row r="28" spans="1:6" ht="112" x14ac:dyDescent="0.3">
      <c r="A28" s="94" t="s">
        <v>1400</v>
      </c>
      <c r="B28" s="94" t="s">
        <v>1401</v>
      </c>
      <c r="C28" s="94" t="s">
        <v>1379</v>
      </c>
      <c r="D28" s="94" t="s">
        <v>9</v>
      </c>
      <c r="E28" s="95" t="s">
        <v>22</v>
      </c>
      <c r="F28" s="98" t="s">
        <v>1380</v>
      </c>
    </row>
    <row r="29" spans="1:6" ht="28" x14ac:dyDescent="0.3">
      <c r="A29" s="94"/>
      <c r="B29" s="94"/>
      <c r="C29" s="94" t="s">
        <v>1381</v>
      </c>
      <c r="D29" s="94" t="s">
        <v>775</v>
      </c>
      <c r="E29" s="95" t="s">
        <v>21</v>
      </c>
      <c r="F29" s="98" t="s">
        <v>1389</v>
      </c>
    </row>
    <row r="30" spans="1:6" ht="28" x14ac:dyDescent="0.3">
      <c r="A30" s="94"/>
      <c r="B30" s="94"/>
      <c r="C30" s="94" t="s">
        <v>1383</v>
      </c>
      <c r="D30" s="94" t="s">
        <v>51</v>
      </c>
      <c r="E30" s="95" t="s">
        <v>22</v>
      </c>
      <c r="F30" s="98" t="s">
        <v>1390</v>
      </c>
    </row>
    <row r="31" spans="1:6" ht="56" x14ac:dyDescent="0.3">
      <c r="A31" s="94"/>
      <c r="B31" s="94"/>
      <c r="C31" s="94" t="s">
        <v>1385</v>
      </c>
      <c r="D31" s="94" t="s">
        <v>194</v>
      </c>
      <c r="E31" s="95" t="s">
        <v>21</v>
      </c>
      <c r="F31" s="98" t="s">
        <v>1391</v>
      </c>
    </row>
    <row r="32" spans="1:6" ht="112" x14ac:dyDescent="0.3">
      <c r="A32" s="99" t="s">
        <v>1402</v>
      </c>
      <c r="B32" s="99" t="s">
        <v>1403</v>
      </c>
      <c r="C32" s="99" t="s">
        <v>1379</v>
      </c>
      <c r="D32" s="99" t="s">
        <v>9</v>
      </c>
      <c r="E32" s="100" t="s">
        <v>22</v>
      </c>
      <c r="F32" s="101" t="s">
        <v>1380</v>
      </c>
    </row>
    <row r="33" spans="1:6" ht="28" x14ac:dyDescent="0.3">
      <c r="A33" s="99"/>
      <c r="B33" s="99"/>
      <c r="C33" s="99" t="s">
        <v>1381</v>
      </c>
      <c r="D33" s="99" t="s">
        <v>775</v>
      </c>
      <c r="E33" s="100" t="s">
        <v>21</v>
      </c>
      <c r="F33" s="101" t="s">
        <v>1389</v>
      </c>
    </row>
    <row r="34" spans="1:6" ht="28" x14ac:dyDescent="0.3">
      <c r="A34" s="99"/>
      <c r="B34" s="99"/>
      <c r="C34" s="99" t="s">
        <v>1383</v>
      </c>
      <c r="D34" s="99" t="s">
        <v>51</v>
      </c>
      <c r="E34" s="100" t="s">
        <v>22</v>
      </c>
      <c r="F34" s="101" t="s">
        <v>1390</v>
      </c>
    </row>
    <row r="35" spans="1:6" ht="56" x14ac:dyDescent="0.3">
      <c r="A35" s="99"/>
      <c r="B35" s="99"/>
      <c r="C35" s="99" t="s">
        <v>1385</v>
      </c>
      <c r="D35" s="99" t="s">
        <v>194</v>
      </c>
      <c r="E35" s="100" t="s">
        <v>21</v>
      </c>
      <c r="F35" s="101" t="s">
        <v>1391</v>
      </c>
    </row>
    <row r="36" spans="1:6" ht="112" x14ac:dyDescent="0.3">
      <c r="A36" s="94" t="s">
        <v>1404</v>
      </c>
      <c r="B36" s="94" t="s">
        <v>1405</v>
      </c>
      <c r="C36" s="94" t="s">
        <v>1379</v>
      </c>
      <c r="D36" s="94" t="s">
        <v>9</v>
      </c>
      <c r="E36" s="95" t="s">
        <v>22</v>
      </c>
      <c r="F36" s="98" t="s">
        <v>1380</v>
      </c>
    </row>
    <row r="37" spans="1:6" ht="28" x14ac:dyDescent="0.3">
      <c r="A37" s="94"/>
      <c r="B37" s="94"/>
      <c r="C37" s="94" t="s">
        <v>1381</v>
      </c>
      <c r="D37" s="94" t="s">
        <v>775</v>
      </c>
      <c r="E37" s="95" t="s">
        <v>21</v>
      </c>
      <c r="F37" s="98" t="s">
        <v>1389</v>
      </c>
    </row>
    <row r="38" spans="1:6" ht="28" x14ac:dyDescent="0.3">
      <c r="A38" s="94"/>
      <c r="B38" s="94"/>
      <c r="C38" s="94" t="s">
        <v>1383</v>
      </c>
      <c r="D38" s="94" t="s">
        <v>51</v>
      </c>
      <c r="E38" s="95" t="s">
        <v>22</v>
      </c>
      <c r="F38" s="98" t="s">
        <v>1390</v>
      </c>
    </row>
    <row r="39" spans="1:6" ht="56" x14ac:dyDescent="0.3">
      <c r="A39" s="94"/>
      <c r="B39" s="94"/>
      <c r="C39" s="94" t="s">
        <v>1385</v>
      </c>
      <c r="D39" s="94" t="s">
        <v>194</v>
      </c>
      <c r="E39" s="95" t="s">
        <v>21</v>
      </c>
      <c r="F39" s="98" t="s">
        <v>1391</v>
      </c>
    </row>
    <row r="40" spans="1:6" ht="112" x14ac:dyDescent="0.3">
      <c r="A40" s="99" t="s">
        <v>1406</v>
      </c>
      <c r="B40" s="99" t="s">
        <v>1407</v>
      </c>
      <c r="C40" s="99" t="s">
        <v>1379</v>
      </c>
      <c r="D40" s="99" t="s">
        <v>9</v>
      </c>
      <c r="E40" s="100" t="s">
        <v>22</v>
      </c>
      <c r="F40" s="101" t="s">
        <v>1380</v>
      </c>
    </row>
    <row r="41" spans="1:6" ht="28" x14ac:dyDescent="0.3">
      <c r="A41" s="99"/>
      <c r="B41" s="99"/>
      <c r="C41" s="99" t="s">
        <v>1381</v>
      </c>
      <c r="D41" s="99" t="s">
        <v>775</v>
      </c>
      <c r="E41" s="100" t="s">
        <v>21</v>
      </c>
      <c r="F41" s="101" t="s">
        <v>1389</v>
      </c>
    </row>
    <row r="42" spans="1:6" ht="28" x14ac:dyDescent="0.3">
      <c r="A42" s="99"/>
      <c r="B42" s="99"/>
      <c r="C42" s="99" t="s">
        <v>1383</v>
      </c>
      <c r="D42" s="99" t="s">
        <v>51</v>
      </c>
      <c r="E42" s="100" t="s">
        <v>22</v>
      </c>
      <c r="F42" s="101" t="s">
        <v>1390</v>
      </c>
    </row>
    <row r="43" spans="1:6" ht="56" x14ac:dyDescent="0.3">
      <c r="A43" s="99"/>
      <c r="B43" s="99"/>
      <c r="C43" s="99" t="s">
        <v>1385</v>
      </c>
      <c r="D43" s="99" t="s">
        <v>194</v>
      </c>
      <c r="E43" s="100" t="s">
        <v>21</v>
      </c>
      <c r="F43" s="101" t="s">
        <v>1391</v>
      </c>
    </row>
    <row r="44" spans="1:6" ht="112" x14ac:dyDescent="0.3">
      <c r="A44" s="94" t="s">
        <v>1408</v>
      </c>
      <c r="B44" s="94" t="s">
        <v>1409</v>
      </c>
      <c r="C44" s="94" t="s">
        <v>1379</v>
      </c>
      <c r="D44" s="94" t="s">
        <v>9</v>
      </c>
      <c r="E44" s="95" t="s">
        <v>22</v>
      </c>
      <c r="F44" s="98" t="s">
        <v>1380</v>
      </c>
    </row>
    <row r="45" spans="1:6" ht="28" x14ac:dyDescent="0.3">
      <c r="A45" s="94"/>
      <c r="B45" s="94"/>
      <c r="C45" s="94" t="s">
        <v>1381</v>
      </c>
      <c r="D45" s="94" t="s">
        <v>775</v>
      </c>
      <c r="E45" s="95" t="s">
        <v>21</v>
      </c>
      <c r="F45" s="98" t="s">
        <v>1389</v>
      </c>
    </row>
    <row r="46" spans="1:6" ht="28" x14ac:dyDescent="0.3">
      <c r="A46" s="94"/>
      <c r="B46" s="94"/>
      <c r="C46" s="94" t="s">
        <v>1383</v>
      </c>
      <c r="D46" s="94" t="s">
        <v>51</v>
      </c>
      <c r="E46" s="95" t="s">
        <v>22</v>
      </c>
      <c r="F46" s="98" t="s">
        <v>1390</v>
      </c>
    </row>
    <row r="47" spans="1:6" ht="56" x14ac:dyDescent="0.3">
      <c r="A47" s="94"/>
      <c r="B47" s="94"/>
      <c r="C47" s="94" t="s">
        <v>1385</v>
      </c>
      <c r="D47" s="94" t="s">
        <v>194</v>
      </c>
      <c r="E47" s="95" t="s">
        <v>21</v>
      </c>
      <c r="F47" s="98" t="s">
        <v>1391</v>
      </c>
    </row>
    <row r="48" spans="1:6" ht="112" x14ac:dyDescent="0.3">
      <c r="A48" s="99" t="s">
        <v>1410</v>
      </c>
      <c r="B48" s="99" t="s">
        <v>1411</v>
      </c>
      <c r="C48" s="99" t="s">
        <v>1379</v>
      </c>
      <c r="D48" s="99" t="s">
        <v>9</v>
      </c>
      <c r="E48" s="100" t="s">
        <v>22</v>
      </c>
      <c r="F48" s="101" t="s">
        <v>1380</v>
      </c>
    </row>
    <row r="49" spans="1:6" ht="28" x14ac:dyDescent="0.3">
      <c r="A49" s="99"/>
      <c r="B49" s="99"/>
      <c r="C49" s="99" t="s">
        <v>1381</v>
      </c>
      <c r="D49" s="99" t="s">
        <v>775</v>
      </c>
      <c r="E49" s="100" t="s">
        <v>21</v>
      </c>
      <c r="F49" s="101" t="s">
        <v>1389</v>
      </c>
    </row>
    <row r="50" spans="1:6" ht="28" x14ac:dyDescent="0.3">
      <c r="A50" s="99"/>
      <c r="B50" s="99"/>
      <c r="C50" s="99" t="s">
        <v>1383</v>
      </c>
      <c r="D50" s="99" t="s">
        <v>51</v>
      </c>
      <c r="E50" s="100" t="s">
        <v>22</v>
      </c>
      <c r="F50" s="101" t="s">
        <v>1390</v>
      </c>
    </row>
    <row r="51" spans="1:6" ht="56" x14ac:dyDescent="0.3">
      <c r="A51" s="99"/>
      <c r="B51" s="99"/>
      <c r="C51" s="99" t="s">
        <v>1385</v>
      </c>
      <c r="D51" s="99" t="s">
        <v>194</v>
      </c>
      <c r="E51" s="100" t="s">
        <v>21</v>
      </c>
      <c r="F51" s="101" t="s">
        <v>1391</v>
      </c>
    </row>
    <row r="52" spans="1:6" ht="112" x14ac:dyDescent="0.3">
      <c r="A52" s="94" t="s">
        <v>1412</v>
      </c>
      <c r="B52" s="94" t="s">
        <v>1413</v>
      </c>
      <c r="C52" s="94" t="s">
        <v>1379</v>
      </c>
      <c r="D52" s="94" t="s">
        <v>9</v>
      </c>
      <c r="E52" s="95" t="s">
        <v>22</v>
      </c>
      <c r="F52" s="98" t="s">
        <v>1380</v>
      </c>
    </row>
    <row r="53" spans="1:6" ht="28" x14ac:dyDescent="0.3">
      <c r="A53" s="94"/>
      <c r="B53" s="94"/>
      <c r="C53" s="94" t="s">
        <v>1381</v>
      </c>
      <c r="D53" s="94" t="s">
        <v>775</v>
      </c>
      <c r="E53" s="95" t="s">
        <v>21</v>
      </c>
      <c r="F53" s="98" t="s">
        <v>1389</v>
      </c>
    </row>
    <row r="54" spans="1:6" ht="28" x14ac:dyDescent="0.3">
      <c r="A54" s="94"/>
      <c r="B54" s="94"/>
      <c r="C54" s="94" t="s">
        <v>1383</v>
      </c>
      <c r="D54" s="94" t="s">
        <v>51</v>
      </c>
      <c r="E54" s="95" t="s">
        <v>22</v>
      </c>
      <c r="F54" s="98" t="s">
        <v>1390</v>
      </c>
    </row>
    <row r="55" spans="1:6" ht="56" x14ac:dyDescent="0.3">
      <c r="A55" s="94"/>
      <c r="B55" s="94"/>
      <c r="C55" s="94" t="s">
        <v>1385</v>
      </c>
      <c r="D55" s="94" t="s">
        <v>194</v>
      </c>
      <c r="E55" s="95" t="s">
        <v>21</v>
      </c>
      <c r="F55" s="98" t="s">
        <v>1391</v>
      </c>
    </row>
    <row r="56" spans="1:6" ht="112" x14ac:dyDescent="0.3">
      <c r="A56" s="99" t="s">
        <v>1414</v>
      </c>
      <c r="B56" s="99" t="s">
        <v>1415</v>
      </c>
      <c r="C56" s="99" t="s">
        <v>1379</v>
      </c>
      <c r="D56" s="99" t="s">
        <v>9</v>
      </c>
      <c r="E56" s="100" t="s">
        <v>22</v>
      </c>
      <c r="F56" s="101" t="s">
        <v>1380</v>
      </c>
    </row>
    <row r="57" spans="1:6" ht="28" x14ac:dyDescent="0.3">
      <c r="A57" s="99"/>
      <c r="B57" s="99"/>
      <c r="C57" s="99" t="s">
        <v>1381</v>
      </c>
      <c r="D57" s="99" t="s">
        <v>775</v>
      </c>
      <c r="E57" s="100" t="s">
        <v>21</v>
      </c>
      <c r="F57" s="101" t="s">
        <v>1389</v>
      </c>
    </row>
    <row r="58" spans="1:6" ht="28" x14ac:dyDescent="0.3">
      <c r="A58" s="99"/>
      <c r="B58" s="99"/>
      <c r="C58" s="99" t="s">
        <v>1383</v>
      </c>
      <c r="D58" s="99" t="s">
        <v>51</v>
      </c>
      <c r="E58" s="100" t="s">
        <v>22</v>
      </c>
      <c r="F58" s="101" t="s">
        <v>1390</v>
      </c>
    </row>
    <row r="59" spans="1:6" ht="56" x14ac:dyDescent="0.3">
      <c r="A59" s="99"/>
      <c r="B59" s="99"/>
      <c r="C59" s="99" t="s">
        <v>1385</v>
      </c>
      <c r="D59" s="99" t="s">
        <v>194</v>
      </c>
      <c r="E59" s="100" t="s">
        <v>21</v>
      </c>
      <c r="F59" s="101" t="s">
        <v>1391</v>
      </c>
    </row>
    <row r="60" spans="1:6" ht="112" x14ac:dyDescent="0.3">
      <c r="A60" s="94" t="s">
        <v>1416</v>
      </c>
      <c r="B60" s="94" t="s">
        <v>1417</v>
      </c>
      <c r="C60" s="94" t="s">
        <v>1379</v>
      </c>
      <c r="D60" s="94" t="s">
        <v>9</v>
      </c>
      <c r="E60" s="95" t="s">
        <v>22</v>
      </c>
      <c r="F60" s="98" t="s">
        <v>1380</v>
      </c>
    </row>
    <row r="61" spans="1:6" ht="28" x14ac:dyDescent="0.3">
      <c r="A61" s="94"/>
      <c r="B61" s="94"/>
      <c r="C61" s="94" t="s">
        <v>1381</v>
      </c>
      <c r="D61" s="94" t="s">
        <v>775</v>
      </c>
      <c r="E61" s="95" t="s">
        <v>21</v>
      </c>
      <c r="F61" s="98" t="s">
        <v>1389</v>
      </c>
    </row>
    <row r="62" spans="1:6" ht="28" x14ac:dyDescent="0.3">
      <c r="A62" s="94"/>
      <c r="B62" s="94"/>
      <c r="C62" s="94" t="s">
        <v>1383</v>
      </c>
      <c r="D62" s="94" t="s">
        <v>51</v>
      </c>
      <c r="E62" s="95" t="s">
        <v>22</v>
      </c>
      <c r="F62" s="98" t="s">
        <v>1390</v>
      </c>
    </row>
    <row r="63" spans="1:6" ht="56" x14ac:dyDescent="0.3">
      <c r="A63" s="94"/>
      <c r="B63" s="94"/>
      <c r="C63" s="94" t="s">
        <v>1385</v>
      </c>
      <c r="D63" s="94" t="s">
        <v>194</v>
      </c>
      <c r="E63" s="95" t="s">
        <v>21</v>
      </c>
      <c r="F63" s="98" t="s">
        <v>1391</v>
      </c>
    </row>
    <row r="64" spans="1:6" ht="112" x14ac:dyDescent="0.3">
      <c r="A64" s="99" t="s">
        <v>1418</v>
      </c>
      <c r="B64" s="99" t="s">
        <v>1419</v>
      </c>
      <c r="C64" s="99" t="s">
        <v>1379</v>
      </c>
      <c r="D64" s="99" t="s">
        <v>9</v>
      </c>
      <c r="E64" s="100" t="s">
        <v>22</v>
      </c>
      <c r="F64" s="101" t="s">
        <v>1380</v>
      </c>
    </row>
    <row r="65" spans="1:6" ht="28" x14ac:dyDescent="0.3">
      <c r="A65" s="99"/>
      <c r="B65" s="99"/>
      <c r="C65" s="99" t="s">
        <v>1381</v>
      </c>
      <c r="D65" s="99" t="s">
        <v>775</v>
      </c>
      <c r="E65" s="100" t="s">
        <v>21</v>
      </c>
      <c r="F65" s="101" t="s">
        <v>1389</v>
      </c>
    </row>
    <row r="66" spans="1:6" ht="28" x14ac:dyDescent="0.3">
      <c r="A66" s="99"/>
      <c r="B66" s="99"/>
      <c r="C66" s="99" t="s">
        <v>1383</v>
      </c>
      <c r="D66" s="99" t="s">
        <v>51</v>
      </c>
      <c r="E66" s="100" t="s">
        <v>22</v>
      </c>
      <c r="F66" s="101" t="s">
        <v>1390</v>
      </c>
    </row>
    <row r="67" spans="1:6" ht="56" x14ac:dyDescent="0.3">
      <c r="A67" s="99"/>
      <c r="B67" s="99"/>
      <c r="C67" s="99" t="s">
        <v>1385</v>
      </c>
      <c r="D67" s="99" t="s">
        <v>194</v>
      </c>
      <c r="E67" s="100" t="s">
        <v>21</v>
      </c>
      <c r="F67" s="101" t="s">
        <v>1391</v>
      </c>
    </row>
    <row r="68" spans="1:6" ht="112" x14ac:dyDescent="0.3">
      <c r="A68" s="94" t="s">
        <v>1420</v>
      </c>
      <c r="B68" s="94" t="s">
        <v>1421</v>
      </c>
      <c r="C68" s="94" t="s">
        <v>1379</v>
      </c>
      <c r="D68" s="94" t="s">
        <v>9</v>
      </c>
      <c r="E68" s="95" t="s">
        <v>22</v>
      </c>
      <c r="F68" s="98" t="s">
        <v>1380</v>
      </c>
    </row>
    <row r="69" spans="1:6" ht="28" x14ac:dyDescent="0.3">
      <c r="A69" s="94"/>
      <c r="B69" s="94"/>
      <c r="C69" s="94" t="s">
        <v>1381</v>
      </c>
      <c r="D69" s="94" t="s">
        <v>775</v>
      </c>
      <c r="E69" s="95" t="s">
        <v>21</v>
      </c>
      <c r="F69" s="98" t="s">
        <v>1389</v>
      </c>
    </row>
    <row r="70" spans="1:6" ht="28" x14ac:dyDescent="0.3">
      <c r="A70" s="94"/>
      <c r="B70" s="94"/>
      <c r="C70" s="94" t="s">
        <v>1383</v>
      </c>
      <c r="D70" s="94" t="s">
        <v>51</v>
      </c>
      <c r="E70" s="95" t="s">
        <v>22</v>
      </c>
      <c r="F70" s="98" t="s">
        <v>1390</v>
      </c>
    </row>
    <row r="71" spans="1:6" ht="56" x14ac:dyDescent="0.3">
      <c r="A71" s="94"/>
      <c r="B71" s="94"/>
      <c r="C71" s="94" t="s">
        <v>1385</v>
      </c>
      <c r="D71" s="94" t="s">
        <v>194</v>
      </c>
      <c r="E71" s="95" t="s">
        <v>21</v>
      </c>
      <c r="F71" s="98" t="s">
        <v>1391</v>
      </c>
    </row>
    <row r="72" spans="1:6" ht="112" x14ac:dyDescent="0.3">
      <c r="A72" s="99" t="s">
        <v>1422</v>
      </c>
      <c r="B72" s="99" t="s">
        <v>1423</v>
      </c>
      <c r="C72" s="99" t="s">
        <v>1379</v>
      </c>
      <c r="D72" s="99" t="s">
        <v>9</v>
      </c>
      <c r="E72" s="100" t="s">
        <v>22</v>
      </c>
      <c r="F72" s="101" t="s">
        <v>1380</v>
      </c>
    </row>
    <row r="73" spans="1:6" ht="28" x14ac:dyDescent="0.3">
      <c r="A73" s="99"/>
      <c r="B73" s="99"/>
      <c r="C73" s="99" t="s">
        <v>1381</v>
      </c>
      <c r="D73" s="99" t="s">
        <v>775</v>
      </c>
      <c r="E73" s="100" t="s">
        <v>21</v>
      </c>
      <c r="F73" s="101" t="s">
        <v>1389</v>
      </c>
    </row>
    <row r="74" spans="1:6" ht="28" x14ac:dyDescent="0.3">
      <c r="A74" s="99"/>
      <c r="B74" s="99"/>
      <c r="C74" s="99" t="s">
        <v>1383</v>
      </c>
      <c r="D74" s="99" t="s">
        <v>51</v>
      </c>
      <c r="E74" s="100" t="s">
        <v>22</v>
      </c>
      <c r="F74" s="101" t="s">
        <v>1390</v>
      </c>
    </row>
    <row r="75" spans="1:6" ht="56" x14ac:dyDescent="0.3">
      <c r="A75" s="99"/>
      <c r="B75" s="99"/>
      <c r="C75" s="99" t="s">
        <v>1385</v>
      </c>
      <c r="D75" s="99" t="s">
        <v>194</v>
      </c>
      <c r="E75" s="100" t="s">
        <v>21</v>
      </c>
      <c r="F75" s="101" t="s">
        <v>1391</v>
      </c>
    </row>
    <row r="76" spans="1:6" ht="112" x14ac:dyDescent="0.3">
      <c r="A76" s="94" t="s">
        <v>1424</v>
      </c>
      <c r="B76" s="94" t="s">
        <v>1425</v>
      </c>
      <c r="C76" s="94" t="s">
        <v>1379</v>
      </c>
      <c r="D76" s="94" t="s">
        <v>9</v>
      </c>
      <c r="E76" s="95" t="s">
        <v>22</v>
      </c>
      <c r="F76" s="98" t="s">
        <v>1380</v>
      </c>
    </row>
    <row r="77" spans="1:6" ht="28" x14ac:dyDescent="0.3">
      <c r="A77" s="94"/>
      <c r="B77" s="94"/>
      <c r="C77" s="94" t="s">
        <v>1381</v>
      </c>
      <c r="D77" s="94" t="s">
        <v>775</v>
      </c>
      <c r="E77" s="95" t="s">
        <v>21</v>
      </c>
      <c r="F77" s="98" t="s">
        <v>1389</v>
      </c>
    </row>
    <row r="78" spans="1:6" ht="28" x14ac:dyDescent="0.3">
      <c r="A78" s="94"/>
      <c r="B78" s="94"/>
      <c r="C78" s="94" t="s">
        <v>1383</v>
      </c>
      <c r="D78" s="94" t="s">
        <v>51</v>
      </c>
      <c r="E78" s="95" t="s">
        <v>22</v>
      </c>
      <c r="F78" s="98" t="s">
        <v>1390</v>
      </c>
    </row>
    <row r="79" spans="1:6" ht="56" x14ac:dyDescent="0.3">
      <c r="A79" s="94"/>
      <c r="B79" s="94"/>
      <c r="C79" s="94" t="s">
        <v>1385</v>
      </c>
      <c r="D79" s="94" t="s">
        <v>194</v>
      </c>
      <c r="E79" s="95" t="s">
        <v>21</v>
      </c>
      <c r="F79" s="98" t="s">
        <v>1391</v>
      </c>
    </row>
    <row r="80" spans="1:6" ht="112" x14ac:dyDescent="0.3">
      <c r="A80" s="99" t="s">
        <v>1426</v>
      </c>
      <c r="B80" s="99" t="s">
        <v>1427</v>
      </c>
      <c r="C80" s="99" t="s">
        <v>1379</v>
      </c>
      <c r="D80" s="99" t="s">
        <v>9</v>
      </c>
      <c r="E80" s="100" t="s">
        <v>22</v>
      </c>
      <c r="F80" s="101" t="s">
        <v>1380</v>
      </c>
    </row>
    <row r="81" spans="1:6" ht="28" x14ac:dyDescent="0.3">
      <c r="A81" s="99"/>
      <c r="B81" s="99"/>
      <c r="C81" s="99" t="s">
        <v>1381</v>
      </c>
      <c r="D81" s="99" t="s">
        <v>775</v>
      </c>
      <c r="E81" s="100" t="s">
        <v>21</v>
      </c>
      <c r="F81" s="101" t="s">
        <v>1389</v>
      </c>
    </row>
    <row r="82" spans="1:6" ht="28" x14ac:dyDescent="0.3">
      <c r="A82" s="99"/>
      <c r="B82" s="99"/>
      <c r="C82" s="99" t="s">
        <v>1383</v>
      </c>
      <c r="D82" s="99" t="s">
        <v>51</v>
      </c>
      <c r="E82" s="100" t="s">
        <v>22</v>
      </c>
      <c r="F82" s="101" t="s">
        <v>1390</v>
      </c>
    </row>
    <row r="83" spans="1:6" ht="56" x14ac:dyDescent="0.3">
      <c r="A83" s="99"/>
      <c r="B83" s="99"/>
      <c r="C83" s="99" t="s">
        <v>1385</v>
      </c>
      <c r="D83" s="99" t="s">
        <v>194</v>
      </c>
      <c r="E83" s="100" t="s">
        <v>21</v>
      </c>
      <c r="F83" s="101" t="s">
        <v>1391</v>
      </c>
    </row>
    <row r="84" spans="1:6" ht="112" x14ac:dyDescent="0.3">
      <c r="A84" s="94" t="s">
        <v>1428</v>
      </c>
      <c r="B84" s="94" t="s">
        <v>1429</v>
      </c>
      <c r="C84" s="94" t="s">
        <v>1379</v>
      </c>
      <c r="D84" s="94" t="s">
        <v>9</v>
      </c>
      <c r="E84" s="95" t="s">
        <v>22</v>
      </c>
      <c r="F84" s="98" t="s">
        <v>1380</v>
      </c>
    </row>
    <row r="85" spans="1:6" ht="28" x14ac:dyDescent="0.3">
      <c r="A85" s="94"/>
      <c r="B85" s="94"/>
      <c r="C85" s="94" t="s">
        <v>1381</v>
      </c>
      <c r="D85" s="94" t="s">
        <v>775</v>
      </c>
      <c r="E85" s="95" t="s">
        <v>21</v>
      </c>
      <c r="F85" s="98" t="s">
        <v>1389</v>
      </c>
    </row>
    <row r="86" spans="1:6" ht="28" x14ac:dyDescent="0.3">
      <c r="A86" s="94"/>
      <c r="B86" s="94"/>
      <c r="C86" s="94" t="s">
        <v>1383</v>
      </c>
      <c r="D86" s="94" t="s">
        <v>51</v>
      </c>
      <c r="E86" s="95" t="s">
        <v>21</v>
      </c>
      <c r="F86" s="98" t="s">
        <v>1390</v>
      </c>
    </row>
    <row r="87" spans="1:6" ht="56" x14ac:dyDescent="0.3">
      <c r="A87" s="94"/>
      <c r="B87" s="94"/>
      <c r="C87" s="94" t="s">
        <v>1385</v>
      </c>
      <c r="D87" s="94" t="s">
        <v>194</v>
      </c>
      <c r="E87" s="95" t="s">
        <v>26</v>
      </c>
      <c r="F87" s="98" t="s">
        <v>1391</v>
      </c>
    </row>
    <row r="88" spans="1:6" ht="112" x14ac:dyDescent="0.3">
      <c r="A88" s="99" t="s">
        <v>1430</v>
      </c>
      <c r="B88" s="99" t="s">
        <v>1431</v>
      </c>
      <c r="C88" s="99" t="s">
        <v>1379</v>
      </c>
      <c r="D88" s="99" t="s">
        <v>9</v>
      </c>
      <c r="E88" s="100" t="s">
        <v>22</v>
      </c>
      <c r="F88" s="101" t="s">
        <v>1380</v>
      </c>
    </row>
    <row r="89" spans="1:6" ht="28" x14ac:dyDescent="0.3">
      <c r="A89" s="99"/>
      <c r="B89" s="99"/>
      <c r="C89" s="99" t="s">
        <v>1381</v>
      </c>
      <c r="D89" s="99" t="s">
        <v>775</v>
      </c>
      <c r="E89" s="100" t="s">
        <v>21</v>
      </c>
      <c r="F89" s="101" t="s">
        <v>1389</v>
      </c>
    </row>
    <row r="90" spans="1:6" ht="28" x14ac:dyDescent="0.3">
      <c r="A90" s="99"/>
      <c r="B90" s="99"/>
      <c r="C90" s="99" t="s">
        <v>1383</v>
      </c>
      <c r="D90" s="99" t="s">
        <v>51</v>
      </c>
      <c r="E90" s="100" t="s">
        <v>22</v>
      </c>
      <c r="F90" s="101" t="s">
        <v>1390</v>
      </c>
    </row>
    <row r="91" spans="1:6" ht="56" x14ac:dyDescent="0.3">
      <c r="A91" s="99"/>
      <c r="B91" s="99"/>
      <c r="C91" s="99" t="s">
        <v>1385</v>
      </c>
      <c r="D91" s="99" t="s">
        <v>194</v>
      </c>
      <c r="E91" s="100" t="s">
        <v>21</v>
      </c>
      <c r="F91" s="101" t="s">
        <v>1391</v>
      </c>
    </row>
    <row r="92" spans="1:6" ht="112" x14ac:dyDescent="0.3">
      <c r="A92" s="94" t="s">
        <v>1432</v>
      </c>
      <c r="B92" s="94" t="s">
        <v>1433</v>
      </c>
      <c r="C92" s="94" t="s">
        <v>1379</v>
      </c>
      <c r="D92" s="94" t="s">
        <v>9</v>
      </c>
      <c r="E92" s="95" t="s">
        <v>22</v>
      </c>
      <c r="F92" s="98" t="s">
        <v>1380</v>
      </c>
    </row>
    <row r="93" spans="1:6" ht="28" x14ac:dyDescent="0.3">
      <c r="A93" s="94"/>
      <c r="B93" s="94"/>
      <c r="C93" s="94" t="s">
        <v>1381</v>
      </c>
      <c r="D93" s="94" t="s">
        <v>775</v>
      </c>
      <c r="E93" s="95" t="s">
        <v>21</v>
      </c>
      <c r="F93" s="98" t="s">
        <v>1389</v>
      </c>
    </row>
    <row r="94" spans="1:6" ht="28" x14ac:dyDescent="0.3">
      <c r="A94" s="94"/>
      <c r="B94" s="94"/>
      <c r="C94" s="94" t="s">
        <v>1383</v>
      </c>
      <c r="D94" s="94" t="s">
        <v>51</v>
      </c>
      <c r="E94" s="95" t="s">
        <v>22</v>
      </c>
      <c r="F94" s="98" t="s">
        <v>1390</v>
      </c>
    </row>
    <row r="95" spans="1:6" ht="56" x14ac:dyDescent="0.3">
      <c r="A95" s="94"/>
      <c r="B95" s="94"/>
      <c r="C95" s="94" t="s">
        <v>1385</v>
      </c>
      <c r="D95" s="94" t="s">
        <v>194</v>
      </c>
      <c r="E95" s="95" t="s">
        <v>21</v>
      </c>
      <c r="F95" s="98" t="s">
        <v>1391</v>
      </c>
    </row>
    <row r="96" spans="1:6" ht="112" x14ac:dyDescent="0.3">
      <c r="A96" s="99" t="s">
        <v>1434</v>
      </c>
      <c r="B96" s="99" t="s">
        <v>1435</v>
      </c>
      <c r="C96" s="99" t="s">
        <v>1379</v>
      </c>
      <c r="D96" s="99" t="s">
        <v>9</v>
      </c>
      <c r="E96" s="100" t="s">
        <v>22</v>
      </c>
      <c r="F96" s="101" t="s">
        <v>1380</v>
      </c>
    </row>
    <row r="97" spans="1:6" ht="28" x14ac:dyDescent="0.3">
      <c r="A97" s="99"/>
      <c r="B97" s="99"/>
      <c r="C97" s="99" t="s">
        <v>1381</v>
      </c>
      <c r="D97" s="99" t="s">
        <v>775</v>
      </c>
      <c r="E97" s="100" t="s">
        <v>21</v>
      </c>
      <c r="F97" s="101" t="s">
        <v>1389</v>
      </c>
    </row>
    <row r="98" spans="1:6" ht="28" x14ac:dyDescent="0.3">
      <c r="A98" s="99"/>
      <c r="B98" s="99"/>
      <c r="C98" s="99" t="s">
        <v>1383</v>
      </c>
      <c r="D98" s="99" t="s">
        <v>51</v>
      </c>
      <c r="E98" s="100" t="s">
        <v>22</v>
      </c>
      <c r="F98" s="101" t="s">
        <v>1390</v>
      </c>
    </row>
    <row r="99" spans="1:6" ht="56" x14ac:dyDescent="0.3">
      <c r="A99" s="99"/>
      <c r="B99" s="99"/>
      <c r="C99" s="99" t="s">
        <v>1385</v>
      </c>
      <c r="D99" s="99" t="s">
        <v>194</v>
      </c>
      <c r="E99" s="100" t="s">
        <v>21</v>
      </c>
      <c r="F99" s="101" t="s">
        <v>1391</v>
      </c>
    </row>
    <row r="100" spans="1:6" ht="112" x14ac:dyDescent="0.3">
      <c r="A100" s="94" t="s">
        <v>1436</v>
      </c>
      <c r="B100" s="94" t="s">
        <v>1437</v>
      </c>
      <c r="C100" s="94" t="s">
        <v>1379</v>
      </c>
      <c r="D100" s="94" t="s">
        <v>9</v>
      </c>
      <c r="E100" s="95" t="s">
        <v>22</v>
      </c>
      <c r="F100" s="98" t="s">
        <v>1380</v>
      </c>
    </row>
    <row r="101" spans="1:6" ht="28" x14ac:dyDescent="0.3">
      <c r="A101" s="94"/>
      <c r="B101" s="94"/>
      <c r="C101" s="94" t="s">
        <v>1381</v>
      </c>
      <c r="D101" s="94" t="s">
        <v>775</v>
      </c>
      <c r="E101" s="95" t="s">
        <v>21</v>
      </c>
      <c r="F101" s="98" t="s">
        <v>1389</v>
      </c>
    </row>
    <row r="102" spans="1:6" ht="28" x14ac:dyDescent="0.3">
      <c r="A102" s="94"/>
      <c r="B102" s="94"/>
      <c r="C102" s="94" t="s">
        <v>1383</v>
      </c>
      <c r="D102" s="94" t="s">
        <v>51</v>
      </c>
      <c r="E102" s="95" t="s">
        <v>22</v>
      </c>
      <c r="F102" s="98" t="s">
        <v>1390</v>
      </c>
    </row>
    <row r="103" spans="1:6" ht="56" x14ac:dyDescent="0.3">
      <c r="A103" s="94"/>
      <c r="B103" s="94"/>
      <c r="C103" s="94" t="s">
        <v>1385</v>
      </c>
      <c r="D103" s="94" t="s">
        <v>194</v>
      </c>
      <c r="E103" s="95" t="s">
        <v>21</v>
      </c>
      <c r="F103" s="98" t="s">
        <v>1391</v>
      </c>
    </row>
    <row r="104" spans="1:6" ht="112" x14ac:dyDescent="0.3">
      <c r="A104" s="99" t="s">
        <v>1438</v>
      </c>
      <c r="B104" s="99" t="s">
        <v>1439</v>
      </c>
      <c r="C104" s="99" t="s">
        <v>1379</v>
      </c>
      <c r="D104" s="99" t="s">
        <v>9</v>
      </c>
      <c r="E104" s="100" t="s">
        <v>22</v>
      </c>
      <c r="F104" s="101" t="s">
        <v>1380</v>
      </c>
    </row>
    <row r="105" spans="1:6" ht="28" x14ac:dyDescent="0.3">
      <c r="A105" s="99"/>
      <c r="B105" s="99"/>
      <c r="C105" s="99" t="s">
        <v>1381</v>
      </c>
      <c r="D105" s="99" t="s">
        <v>775</v>
      </c>
      <c r="E105" s="100" t="s">
        <v>21</v>
      </c>
      <c r="F105" s="101" t="s">
        <v>1389</v>
      </c>
    </row>
    <row r="106" spans="1:6" ht="28" x14ac:dyDescent="0.3">
      <c r="A106" s="99"/>
      <c r="B106" s="99"/>
      <c r="C106" s="99" t="s">
        <v>1383</v>
      </c>
      <c r="D106" s="99" t="s">
        <v>51</v>
      </c>
      <c r="E106" s="100" t="s">
        <v>22</v>
      </c>
      <c r="F106" s="101" t="s">
        <v>1390</v>
      </c>
    </row>
    <row r="107" spans="1:6" ht="56" x14ac:dyDescent="0.3">
      <c r="A107" s="99"/>
      <c r="B107" s="99"/>
      <c r="C107" s="99" t="s">
        <v>1385</v>
      </c>
      <c r="D107" s="99" t="s">
        <v>194</v>
      </c>
      <c r="E107" s="100" t="s">
        <v>21</v>
      </c>
      <c r="F107" s="101" t="s">
        <v>1391</v>
      </c>
    </row>
    <row r="108" spans="1:6" ht="112" x14ac:dyDescent="0.3">
      <c r="A108" s="94" t="s">
        <v>1440</v>
      </c>
      <c r="B108" s="94" t="s">
        <v>1441</v>
      </c>
      <c r="C108" s="94" t="s">
        <v>1379</v>
      </c>
      <c r="D108" s="94" t="s">
        <v>9</v>
      </c>
      <c r="E108" s="95" t="s">
        <v>22</v>
      </c>
      <c r="F108" s="98" t="s">
        <v>1380</v>
      </c>
    </row>
    <row r="109" spans="1:6" ht="28" x14ac:dyDescent="0.3">
      <c r="A109" s="94"/>
      <c r="B109" s="94"/>
      <c r="C109" s="94" t="s">
        <v>1381</v>
      </c>
      <c r="D109" s="94" t="s">
        <v>775</v>
      </c>
      <c r="E109" s="95" t="s">
        <v>21</v>
      </c>
      <c r="F109" s="98" t="s">
        <v>1389</v>
      </c>
    </row>
    <row r="110" spans="1:6" ht="28" x14ac:dyDescent="0.3">
      <c r="A110" s="94"/>
      <c r="B110" s="94"/>
      <c r="C110" s="94" t="s">
        <v>1383</v>
      </c>
      <c r="D110" s="94" t="s">
        <v>51</v>
      </c>
      <c r="E110" s="95" t="s">
        <v>22</v>
      </c>
      <c r="F110" s="98" t="s">
        <v>1390</v>
      </c>
    </row>
    <row r="111" spans="1:6" ht="56" x14ac:dyDescent="0.3">
      <c r="A111" s="94"/>
      <c r="B111" s="94"/>
      <c r="C111" s="94" t="s">
        <v>1385</v>
      </c>
      <c r="D111" s="94" t="s">
        <v>194</v>
      </c>
      <c r="E111" s="95" t="s">
        <v>21</v>
      </c>
      <c r="F111" s="98" t="s">
        <v>1391</v>
      </c>
    </row>
    <row r="112" spans="1:6" ht="112" x14ac:dyDescent="0.3">
      <c r="A112" s="99" t="s">
        <v>1442</v>
      </c>
      <c r="B112" s="99" t="s">
        <v>1443</v>
      </c>
      <c r="C112" s="99" t="s">
        <v>1379</v>
      </c>
      <c r="D112" s="99" t="s">
        <v>9</v>
      </c>
      <c r="E112" s="100" t="s">
        <v>22</v>
      </c>
      <c r="F112" s="101" t="s">
        <v>1380</v>
      </c>
    </row>
    <row r="113" spans="1:6" ht="28" x14ac:dyDescent="0.3">
      <c r="A113" s="99"/>
      <c r="B113" s="99"/>
      <c r="C113" s="99" t="s">
        <v>1381</v>
      </c>
      <c r="D113" s="99" t="s">
        <v>775</v>
      </c>
      <c r="E113" s="100" t="s">
        <v>21</v>
      </c>
      <c r="F113" s="101" t="s">
        <v>1389</v>
      </c>
    </row>
    <row r="114" spans="1:6" ht="28" x14ac:dyDescent="0.3">
      <c r="A114" s="99"/>
      <c r="B114" s="99"/>
      <c r="C114" s="99" t="s">
        <v>1383</v>
      </c>
      <c r="D114" s="99" t="s">
        <v>51</v>
      </c>
      <c r="E114" s="100" t="s">
        <v>22</v>
      </c>
      <c r="F114" s="101" t="s">
        <v>1390</v>
      </c>
    </row>
    <row r="115" spans="1:6" ht="56" x14ac:dyDescent="0.3">
      <c r="A115" s="99"/>
      <c r="B115" s="99"/>
      <c r="C115" s="99" t="s">
        <v>1385</v>
      </c>
      <c r="D115" s="99" t="s">
        <v>194</v>
      </c>
      <c r="E115" s="100" t="s">
        <v>21</v>
      </c>
      <c r="F115" s="101" t="s">
        <v>1391</v>
      </c>
    </row>
    <row r="116" spans="1:6" ht="112" x14ac:dyDescent="0.3">
      <c r="A116" s="94" t="s">
        <v>1444</v>
      </c>
      <c r="B116" s="94" t="s">
        <v>1445</v>
      </c>
      <c r="C116" s="94" t="s">
        <v>1379</v>
      </c>
      <c r="D116" s="94" t="s">
        <v>9</v>
      </c>
      <c r="E116" s="95" t="s">
        <v>22</v>
      </c>
      <c r="F116" s="98" t="s">
        <v>1380</v>
      </c>
    </row>
    <row r="117" spans="1:6" ht="28" x14ac:dyDescent="0.3">
      <c r="A117" s="94"/>
      <c r="B117" s="94"/>
      <c r="C117" s="94" t="s">
        <v>1381</v>
      </c>
      <c r="D117" s="94" t="s">
        <v>775</v>
      </c>
      <c r="E117" s="95" t="s">
        <v>21</v>
      </c>
      <c r="F117" s="98" t="s">
        <v>1389</v>
      </c>
    </row>
    <row r="118" spans="1:6" ht="28" x14ac:dyDescent="0.3">
      <c r="A118" s="94"/>
      <c r="B118" s="94"/>
      <c r="C118" s="94" t="s">
        <v>1383</v>
      </c>
      <c r="D118" s="94" t="s">
        <v>51</v>
      </c>
      <c r="E118" s="95" t="s">
        <v>22</v>
      </c>
      <c r="F118" s="98" t="s">
        <v>1390</v>
      </c>
    </row>
    <row r="119" spans="1:6" ht="56" x14ac:dyDescent="0.3">
      <c r="A119" s="94"/>
      <c r="B119" s="94"/>
      <c r="C119" s="94" t="s">
        <v>1385</v>
      </c>
      <c r="D119" s="94" t="s">
        <v>194</v>
      </c>
      <c r="E119" s="95" t="s">
        <v>21</v>
      </c>
      <c r="F119" s="98" t="s">
        <v>1391</v>
      </c>
    </row>
    <row r="120" spans="1:6" ht="112" x14ac:dyDescent="0.3">
      <c r="A120" s="99" t="s">
        <v>1446</v>
      </c>
      <c r="B120" s="99" t="s">
        <v>1447</v>
      </c>
      <c r="C120" s="99" t="s">
        <v>1379</v>
      </c>
      <c r="D120" s="99" t="s">
        <v>9</v>
      </c>
      <c r="E120" s="100" t="s">
        <v>22</v>
      </c>
      <c r="F120" s="101" t="s">
        <v>1380</v>
      </c>
    </row>
    <row r="121" spans="1:6" ht="28" x14ac:dyDescent="0.3">
      <c r="A121" s="99"/>
      <c r="B121" s="99"/>
      <c r="C121" s="99" t="s">
        <v>1381</v>
      </c>
      <c r="D121" s="99" t="s">
        <v>775</v>
      </c>
      <c r="E121" s="100" t="s">
        <v>21</v>
      </c>
      <c r="F121" s="101" t="s">
        <v>1389</v>
      </c>
    </row>
    <row r="122" spans="1:6" ht="28" x14ac:dyDescent="0.3">
      <c r="A122" s="99"/>
      <c r="B122" s="99"/>
      <c r="C122" s="99" t="s">
        <v>1383</v>
      </c>
      <c r="D122" s="99" t="s">
        <v>51</v>
      </c>
      <c r="E122" s="100" t="s">
        <v>22</v>
      </c>
      <c r="F122" s="101" t="s">
        <v>1390</v>
      </c>
    </row>
    <row r="123" spans="1:6" ht="56" x14ac:dyDescent="0.3">
      <c r="A123" s="99"/>
      <c r="B123" s="99"/>
      <c r="C123" s="99" t="s">
        <v>1385</v>
      </c>
      <c r="D123" s="99" t="s">
        <v>194</v>
      </c>
      <c r="E123" s="100" t="s">
        <v>21</v>
      </c>
      <c r="F123" s="101" t="s">
        <v>1391</v>
      </c>
    </row>
    <row r="124" spans="1:6" ht="112" x14ac:dyDescent="0.3">
      <c r="A124" s="94" t="s">
        <v>1448</v>
      </c>
      <c r="B124" s="94" t="s">
        <v>1449</v>
      </c>
      <c r="C124" s="94" t="s">
        <v>1379</v>
      </c>
      <c r="D124" s="94" t="s">
        <v>9</v>
      </c>
      <c r="E124" s="95" t="s">
        <v>22</v>
      </c>
      <c r="F124" s="98" t="s">
        <v>1380</v>
      </c>
    </row>
    <row r="125" spans="1:6" ht="28" x14ac:dyDescent="0.3">
      <c r="A125" s="94"/>
      <c r="B125" s="94"/>
      <c r="C125" s="94" t="s">
        <v>1381</v>
      </c>
      <c r="D125" s="94" t="s">
        <v>775</v>
      </c>
      <c r="E125" s="95" t="s">
        <v>21</v>
      </c>
      <c r="F125" s="98" t="s">
        <v>1389</v>
      </c>
    </row>
    <row r="126" spans="1:6" ht="28" x14ac:dyDescent="0.3">
      <c r="A126" s="94"/>
      <c r="B126" s="94"/>
      <c r="C126" s="94" t="s">
        <v>1383</v>
      </c>
      <c r="D126" s="94" t="s">
        <v>51</v>
      </c>
      <c r="E126" s="95" t="s">
        <v>21</v>
      </c>
      <c r="F126" s="98" t="s">
        <v>1390</v>
      </c>
    </row>
    <row r="127" spans="1:6" ht="56" x14ac:dyDescent="0.3">
      <c r="A127" s="94"/>
      <c r="B127" s="94"/>
      <c r="C127" s="94" t="s">
        <v>1385</v>
      </c>
      <c r="D127" s="94" t="s">
        <v>194</v>
      </c>
      <c r="E127" s="95" t="s">
        <v>21</v>
      </c>
      <c r="F127" s="98" t="s">
        <v>1391</v>
      </c>
    </row>
    <row r="128" spans="1:6" ht="112" x14ac:dyDescent="0.3">
      <c r="A128" s="99" t="s">
        <v>1450</v>
      </c>
      <c r="B128" s="99" t="s">
        <v>1451</v>
      </c>
      <c r="C128" s="99" t="s">
        <v>1379</v>
      </c>
      <c r="D128" s="99" t="s">
        <v>9</v>
      </c>
      <c r="E128" s="100" t="s">
        <v>22</v>
      </c>
      <c r="F128" s="101" t="s">
        <v>1380</v>
      </c>
    </row>
    <row r="129" spans="1:6" ht="28" x14ac:dyDescent="0.3">
      <c r="A129" s="99"/>
      <c r="B129" s="99"/>
      <c r="C129" s="99" t="s">
        <v>1381</v>
      </c>
      <c r="D129" s="99" t="s">
        <v>775</v>
      </c>
      <c r="E129" s="100" t="s">
        <v>21</v>
      </c>
      <c r="F129" s="101" t="s">
        <v>1389</v>
      </c>
    </row>
    <row r="130" spans="1:6" ht="28" x14ac:dyDescent="0.3">
      <c r="A130" s="99"/>
      <c r="B130" s="99"/>
      <c r="C130" s="99" t="s">
        <v>1383</v>
      </c>
      <c r="D130" s="99" t="s">
        <v>51</v>
      </c>
      <c r="E130" s="100" t="s">
        <v>21</v>
      </c>
      <c r="F130" s="101" t="s">
        <v>1390</v>
      </c>
    </row>
    <row r="131" spans="1:6" ht="56" x14ac:dyDescent="0.3">
      <c r="A131" s="99"/>
      <c r="B131" s="99"/>
      <c r="C131" s="99" t="s">
        <v>1385</v>
      </c>
      <c r="D131" s="99" t="s">
        <v>194</v>
      </c>
      <c r="E131" s="100" t="s">
        <v>21</v>
      </c>
      <c r="F131" s="101" t="s">
        <v>1391</v>
      </c>
    </row>
    <row r="132" spans="1:6" ht="112" x14ac:dyDescent="0.3">
      <c r="A132" s="94" t="s">
        <v>1452</v>
      </c>
      <c r="B132" s="94" t="s">
        <v>1453</v>
      </c>
      <c r="C132" s="94" t="s">
        <v>1379</v>
      </c>
      <c r="D132" s="94" t="s">
        <v>9</v>
      </c>
      <c r="E132" s="95" t="s">
        <v>22</v>
      </c>
      <c r="F132" s="98" t="s">
        <v>1380</v>
      </c>
    </row>
    <row r="133" spans="1:6" ht="28" x14ac:dyDescent="0.3">
      <c r="A133" s="94"/>
      <c r="B133" s="94"/>
      <c r="C133" s="94" t="s">
        <v>1381</v>
      </c>
      <c r="D133" s="94" t="s">
        <v>775</v>
      </c>
      <c r="E133" s="95" t="s">
        <v>21</v>
      </c>
      <c r="F133" s="98" t="s">
        <v>1389</v>
      </c>
    </row>
    <row r="134" spans="1:6" ht="28" x14ac:dyDescent="0.3">
      <c r="A134" s="94"/>
      <c r="B134" s="94"/>
      <c r="C134" s="94" t="s">
        <v>1383</v>
      </c>
      <c r="D134" s="94" t="s">
        <v>51</v>
      </c>
      <c r="E134" s="95" t="s">
        <v>21</v>
      </c>
      <c r="F134" s="98" t="s">
        <v>1390</v>
      </c>
    </row>
    <row r="135" spans="1:6" ht="56" x14ac:dyDescent="0.3">
      <c r="A135" s="94"/>
      <c r="B135" s="94"/>
      <c r="C135" s="94" t="s">
        <v>1385</v>
      </c>
      <c r="D135" s="94" t="s">
        <v>194</v>
      </c>
      <c r="E135" s="95" t="s">
        <v>26</v>
      </c>
      <c r="F135" s="98" t="s">
        <v>1391</v>
      </c>
    </row>
    <row r="136" spans="1:6" ht="112" x14ac:dyDescent="0.3">
      <c r="A136" s="99" t="s">
        <v>1454</v>
      </c>
      <c r="B136" s="99" t="s">
        <v>1455</v>
      </c>
      <c r="C136" s="99" t="s">
        <v>1379</v>
      </c>
      <c r="D136" s="99" t="s">
        <v>9</v>
      </c>
      <c r="E136" s="100" t="s">
        <v>22</v>
      </c>
      <c r="F136" s="101" t="s">
        <v>1380</v>
      </c>
    </row>
    <row r="137" spans="1:6" ht="28" x14ac:dyDescent="0.3">
      <c r="A137" s="99"/>
      <c r="B137" s="99"/>
      <c r="C137" s="99" t="s">
        <v>1381</v>
      </c>
      <c r="D137" s="99" t="s">
        <v>775</v>
      </c>
      <c r="E137" s="100" t="s">
        <v>21</v>
      </c>
      <c r="F137" s="101" t="s">
        <v>1389</v>
      </c>
    </row>
    <row r="138" spans="1:6" ht="28" x14ac:dyDescent="0.3">
      <c r="A138" s="99"/>
      <c r="B138" s="99"/>
      <c r="C138" s="99" t="s">
        <v>1383</v>
      </c>
      <c r="D138" s="99" t="s">
        <v>51</v>
      </c>
      <c r="E138" s="100" t="s">
        <v>21</v>
      </c>
      <c r="F138" s="101" t="s">
        <v>1390</v>
      </c>
    </row>
    <row r="139" spans="1:6" ht="56" x14ac:dyDescent="0.3">
      <c r="A139" s="99"/>
      <c r="B139" s="99"/>
      <c r="C139" s="99" t="s">
        <v>1385</v>
      </c>
      <c r="D139" s="99" t="s">
        <v>194</v>
      </c>
      <c r="E139" s="100" t="s">
        <v>21</v>
      </c>
      <c r="F139" s="101" t="s">
        <v>1391</v>
      </c>
    </row>
    <row r="140" spans="1:6" ht="112" x14ac:dyDescent="0.3">
      <c r="A140" s="94" t="s">
        <v>1456</v>
      </c>
      <c r="B140" s="94" t="s">
        <v>1457</v>
      </c>
      <c r="C140" s="94" t="s">
        <v>1379</v>
      </c>
      <c r="D140" s="94" t="s">
        <v>9</v>
      </c>
      <c r="E140" s="95" t="s">
        <v>22</v>
      </c>
      <c r="F140" s="98" t="s">
        <v>1380</v>
      </c>
    </row>
    <row r="141" spans="1:6" ht="28" x14ac:dyDescent="0.3">
      <c r="A141" s="94"/>
      <c r="B141" s="94"/>
      <c r="C141" s="94" t="s">
        <v>1381</v>
      </c>
      <c r="D141" s="94" t="s">
        <v>775</v>
      </c>
      <c r="E141" s="95" t="s">
        <v>21</v>
      </c>
      <c r="F141" s="98" t="s">
        <v>1389</v>
      </c>
    </row>
    <row r="142" spans="1:6" ht="28" x14ac:dyDescent="0.3">
      <c r="A142" s="94"/>
      <c r="B142" s="94"/>
      <c r="C142" s="94" t="s">
        <v>1383</v>
      </c>
      <c r="D142" s="94" t="s">
        <v>51</v>
      </c>
      <c r="E142" s="95" t="s">
        <v>21</v>
      </c>
      <c r="F142" s="98" t="s">
        <v>1390</v>
      </c>
    </row>
    <row r="143" spans="1:6" ht="56" x14ac:dyDescent="0.3">
      <c r="A143" s="94"/>
      <c r="B143" s="94"/>
      <c r="C143" s="94" t="s">
        <v>1385</v>
      </c>
      <c r="D143" s="94" t="s">
        <v>194</v>
      </c>
      <c r="E143" s="95" t="s">
        <v>21</v>
      </c>
      <c r="F143" s="98" t="s">
        <v>1391</v>
      </c>
    </row>
    <row r="144" spans="1:6" ht="112" x14ac:dyDescent="0.3">
      <c r="A144" s="99" t="s">
        <v>1458</v>
      </c>
      <c r="B144" s="99" t="s">
        <v>1459</v>
      </c>
      <c r="C144" s="99" t="s">
        <v>1379</v>
      </c>
      <c r="D144" s="99" t="s">
        <v>9</v>
      </c>
      <c r="E144" s="100" t="s">
        <v>22</v>
      </c>
      <c r="F144" s="101" t="s">
        <v>1380</v>
      </c>
    </row>
    <row r="145" spans="1:6" ht="28" x14ac:dyDescent="0.3">
      <c r="A145" s="99"/>
      <c r="B145" s="99"/>
      <c r="C145" s="99" t="s">
        <v>1381</v>
      </c>
      <c r="D145" s="99" t="s">
        <v>775</v>
      </c>
      <c r="E145" s="100" t="s">
        <v>21</v>
      </c>
      <c r="F145" s="101" t="s">
        <v>1389</v>
      </c>
    </row>
    <row r="146" spans="1:6" ht="28" x14ac:dyDescent="0.3">
      <c r="A146" s="99"/>
      <c r="B146" s="99"/>
      <c r="C146" s="99" t="s">
        <v>1383</v>
      </c>
      <c r="D146" s="99" t="s">
        <v>51</v>
      </c>
      <c r="E146" s="100" t="s">
        <v>21</v>
      </c>
      <c r="F146" s="101" t="s">
        <v>1390</v>
      </c>
    </row>
    <row r="147" spans="1:6" ht="56" x14ac:dyDescent="0.3">
      <c r="A147" s="99"/>
      <c r="B147" s="99"/>
      <c r="C147" s="99" t="s">
        <v>1385</v>
      </c>
      <c r="D147" s="99" t="s">
        <v>194</v>
      </c>
      <c r="E147" s="100" t="s">
        <v>26</v>
      </c>
      <c r="F147" s="101" t="s">
        <v>1391</v>
      </c>
    </row>
    <row r="148" spans="1:6" ht="112" x14ac:dyDescent="0.3">
      <c r="A148" s="94" t="s">
        <v>1460</v>
      </c>
      <c r="B148" s="94" t="s">
        <v>1461</v>
      </c>
      <c r="C148" s="94" t="s">
        <v>1379</v>
      </c>
      <c r="D148" s="94" t="s">
        <v>9</v>
      </c>
      <c r="E148" s="95" t="s">
        <v>22</v>
      </c>
      <c r="F148" s="98" t="s">
        <v>1380</v>
      </c>
    </row>
    <row r="149" spans="1:6" ht="28" x14ac:dyDescent="0.3">
      <c r="A149" s="94"/>
      <c r="B149" s="94"/>
      <c r="C149" s="94" t="s">
        <v>1381</v>
      </c>
      <c r="D149" s="94" t="s">
        <v>775</v>
      </c>
      <c r="E149" s="95" t="s">
        <v>21</v>
      </c>
      <c r="F149" s="98" t="s">
        <v>1389</v>
      </c>
    </row>
    <row r="150" spans="1:6" ht="28" x14ac:dyDescent="0.3">
      <c r="A150" s="94"/>
      <c r="B150" s="94"/>
      <c r="C150" s="94" t="s">
        <v>1383</v>
      </c>
      <c r="D150" s="94" t="s">
        <v>51</v>
      </c>
      <c r="E150" s="95" t="s">
        <v>22</v>
      </c>
      <c r="F150" s="98" t="s">
        <v>1390</v>
      </c>
    </row>
    <row r="151" spans="1:6" ht="56" x14ac:dyDescent="0.3">
      <c r="A151" s="94"/>
      <c r="B151" s="94"/>
      <c r="C151" s="94" t="s">
        <v>1385</v>
      </c>
      <c r="D151" s="94" t="s">
        <v>194</v>
      </c>
      <c r="E151" s="95" t="s">
        <v>21</v>
      </c>
      <c r="F151" s="98" t="s">
        <v>1391</v>
      </c>
    </row>
    <row r="152" spans="1:6" ht="112" x14ac:dyDescent="0.3">
      <c r="A152" s="99" t="s">
        <v>1462</v>
      </c>
      <c r="B152" s="99" t="s">
        <v>1463</v>
      </c>
      <c r="C152" s="99" t="s">
        <v>1379</v>
      </c>
      <c r="D152" s="99" t="s">
        <v>9</v>
      </c>
      <c r="E152" s="100" t="s">
        <v>22</v>
      </c>
      <c r="F152" s="101" t="s">
        <v>1380</v>
      </c>
    </row>
    <row r="153" spans="1:6" ht="28" x14ac:dyDescent="0.3">
      <c r="A153" s="99"/>
      <c r="B153" s="99"/>
      <c r="C153" s="99" t="s">
        <v>1381</v>
      </c>
      <c r="D153" s="99" t="s">
        <v>775</v>
      </c>
      <c r="E153" s="100" t="s">
        <v>21</v>
      </c>
      <c r="F153" s="101" t="s">
        <v>1389</v>
      </c>
    </row>
    <row r="154" spans="1:6" ht="28" x14ac:dyDescent="0.3">
      <c r="A154" s="99"/>
      <c r="B154" s="99"/>
      <c r="C154" s="99" t="s">
        <v>1383</v>
      </c>
      <c r="D154" s="99" t="s">
        <v>51</v>
      </c>
      <c r="E154" s="100" t="s">
        <v>22</v>
      </c>
      <c r="F154" s="101" t="s">
        <v>1390</v>
      </c>
    </row>
    <row r="155" spans="1:6" ht="56" x14ac:dyDescent="0.3">
      <c r="A155" s="99"/>
      <c r="B155" s="99"/>
      <c r="C155" s="99" t="s">
        <v>1385</v>
      </c>
      <c r="D155" s="99" t="s">
        <v>194</v>
      </c>
      <c r="E155" s="100" t="s">
        <v>21</v>
      </c>
      <c r="F155" s="101" t="s">
        <v>1391</v>
      </c>
    </row>
    <row r="156" spans="1:6" ht="112" x14ac:dyDescent="0.3">
      <c r="A156" s="94" t="s">
        <v>1464</v>
      </c>
      <c r="B156" s="94" t="s">
        <v>1465</v>
      </c>
      <c r="C156" s="94" t="s">
        <v>1379</v>
      </c>
      <c r="D156" s="94" t="s">
        <v>9</v>
      </c>
      <c r="E156" s="95" t="s">
        <v>22</v>
      </c>
      <c r="F156" s="98" t="s">
        <v>1380</v>
      </c>
    </row>
    <row r="157" spans="1:6" ht="28" x14ac:dyDescent="0.3">
      <c r="A157" s="94"/>
      <c r="B157" s="94"/>
      <c r="C157" s="94" t="s">
        <v>1381</v>
      </c>
      <c r="D157" s="94" t="s">
        <v>775</v>
      </c>
      <c r="E157" s="95" t="s">
        <v>21</v>
      </c>
      <c r="F157" s="98" t="s">
        <v>1389</v>
      </c>
    </row>
    <row r="158" spans="1:6" ht="28" x14ac:dyDescent="0.3">
      <c r="A158" s="94"/>
      <c r="B158" s="94"/>
      <c r="C158" s="94" t="s">
        <v>1383</v>
      </c>
      <c r="D158" s="94" t="s">
        <v>51</v>
      </c>
      <c r="E158" s="95" t="s">
        <v>22</v>
      </c>
      <c r="F158" s="98" t="s">
        <v>1390</v>
      </c>
    </row>
    <row r="159" spans="1:6" ht="56" x14ac:dyDescent="0.3">
      <c r="A159" s="94"/>
      <c r="B159" s="94"/>
      <c r="C159" s="94" t="s">
        <v>1385</v>
      </c>
      <c r="D159" s="94" t="s">
        <v>194</v>
      </c>
      <c r="E159" s="95" t="s">
        <v>21</v>
      </c>
      <c r="F159" s="98" t="s">
        <v>1391</v>
      </c>
    </row>
    <row r="160" spans="1:6" ht="112" x14ac:dyDescent="0.3">
      <c r="A160" s="99" t="s">
        <v>1466</v>
      </c>
      <c r="B160" s="99" t="s">
        <v>1467</v>
      </c>
      <c r="C160" s="99" t="s">
        <v>1379</v>
      </c>
      <c r="D160" s="99" t="s">
        <v>9</v>
      </c>
      <c r="E160" s="100" t="s">
        <v>22</v>
      </c>
      <c r="F160" s="101" t="s">
        <v>1380</v>
      </c>
    </row>
    <row r="161" spans="1:6" ht="28" x14ac:dyDescent="0.3">
      <c r="A161" s="99"/>
      <c r="B161" s="99"/>
      <c r="C161" s="99" t="s">
        <v>1381</v>
      </c>
      <c r="D161" s="99" t="s">
        <v>775</v>
      </c>
      <c r="E161" s="100" t="s">
        <v>21</v>
      </c>
      <c r="F161" s="101" t="s">
        <v>1389</v>
      </c>
    </row>
    <row r="162" spans="1:6" ht="28" x14ac:dyDescent="0.3">
      <c r="A162" s="99"/>
      <c r="B162" s="99"/>
      <c r="C162" s="99" t="s">
        <v>1383</v>
      </c>
      <c r="D162" s="99" t="s">
        <v>51</v>
      </c>
      <c r="E162" s="100" t="s">
        <v>22</v>
      </c>
      <c r="F162" s="101" t="s">
        <v>1390</v>
      </c>
    </row>
    <row r="163" spans="1:6" ht="56" x14ac:dyDescent="0.3">
      <c r="A163" s="99"/>
      <c r="B163" s="99"/>
      <c r="C163" s="99" t="s">
        <v>1385</v>
      </c>
      <c r="D163" s="99" t="s">
        <v>194</v>
      </c>
      <c r="E163" s="100" t="s">
        <v>21</v>
      </c>
      <c r="F163" s="101" t="s">
        <v>1391</v>
      </c>
    </row>
    <row r="164" spans="1:6" ht="112" x14ac:dyDescent="0.3">
      <c r="A164" s="94" t="s">
        <v>1468</v>
      </c>
      <c r="B164" s="94" t="s">
        <v>1469</v>
      </c>
      <c r="C164" s="94" t="s">
        <v>1379</v>
      </c>
      <c r="D164" s="94" t="s">
        <v>9</v>
      </c>
      <c r="E164" s="95" t="s">
        <v>22</v>
      </c>
      <c r="F164" s="98" t="s">
        <v>1380</v>
      </c>
    </row>
    <row r="165" spans="1:6" ht="28" x14ac:dyDescent="0.3">
      <c r="A165" s="94"/>
      <c r="B165" s="94"/>
      <c r="C165" s="94" t="s">
        <v>1381</v>
      </c>
      <c r="D165" s="94" t="s">
        <v>775</v>
      </c>
      <c r="E165" s="95" t="s">
        <v>21</v>
      </c>
      <c r="F165" s="98" t="s">
        <v>1389</v>
      </c>
    </row>
    <row r="166" spans="1:6" ht="28" x14ac:dyDescent="0.3">
      <c r="A166" s="94"/>
      <c r="B166" s="94"/>
      <c r="C166" s="94" t="s">
        <v>1383</v>
      </c>
      <c r="D166" s="94" t="s">
        <v>51</v>
      </c>
      <c r="E166" s="95" t="s">
        <v>22</v>
      </c>
      <c r="F166" s="98" t="s">
        <v>1390</v>
      </c>
    </row>
    <row r="167" spans="1:6" ht="56" x14ac:dyDescent="0.3">
      <c r="A167" s="94"/>
      <c r="B167" s="94"/>
      <c r="C167" s="94" t="s">
        <v>1385</v>
      </c>
      <c r="D167" s="94" t="s">
        <v>194</v>
      </c>
      <c r="E167" s="95" t="s">
        <v>21</v>
      </c>
      <c r="F167" s="98" t="s">
        <v>1391</v>
      </c>
    </row>
    <row r="168" spans="1:6" ht="112" x14ac:dyDescent="0.3">
      <c r="A168" s="99" t="s">
        <v>1470</v>
      </c>
      <c r="B168" s="99" t="s">
        <v>1471</v>
      </c>
      <c r="C168" s="99" t="s">
        <v>1379</v>
      </c>
      <c r="D168" s="99" t="s">
        <v>9</v>
      </c>
      <c r="E168" s="100" t="s">
        <v>22</v>
      </c>
      <c r="F168" s="101" t="s">
        <v>1380</v>
      </c>
    </row>
    <row r="169" spans="1:6" ht="28" x14ac:dyDescent="0.3">
      <c r="A169" s="99"/>
      <c r="B169" s="99"/>
      <c r="C169" s="99" t="s">
        <v>1381</v>
      </c>
      <c r="D169" s="99" t="s">
        <v>775</v>
      </c>
      <c r="E169" s="100" t="s">
        <v>21</v>
      </c>
      <c r="F169" s="101" t="s">
        <v>1389</v>
      </c>
    </row>
    <row r="170" spans="1:6" ht="28" x14ac:dyDescent="0.3">
      <c r="A170" s="99"/>
      <c r="B170" s="99"/>
      <c r="C170" s="99" t="s">
        <v>1383</v>
      </c>
      <c r="D170" s="99" t="s">
        <v>51</v>
      </c>
      <c r="E170" s="100" t="s">
        <v>21</v>
      </c>
      <c r="F170" s="101" t="s">
        <v>1390</v>
      </c>
    </row>
    <row r="171" spans="1:6" ht="56" x14ac:dyDescent="0.3">
      <c r="A171" s="99"/>
      <c r="B171" s="99"/>
      <c r="C171" s="99" t="s">
        <v>1385</v>
      </c>
      <c r="D171" s="99" t="s">
        <v>194</v>
      </c>
      <c r="E171" s="100" t="s">
        <v>26</v>
      </c>
      <c r="F171" s="101" t="s">
        <v>1391</v>
      </c>
    </row>
    <row r="172" spans="1:6" ht="112" x14ac:dyDescent="0.3">
      <c r="A172" s="94" t="s">
        <v>1472</v>
      </c>
      <c r="B172" s="94" t="s">
        <v>1473</v>
      </c>
      <c r="C172" s="94" t="s">
        <v>1379</v>
      </c>
      <c r="D172" s="94" t="s">
        <v>9</v>
      </c>
      <c r="E172" s="95" t="s">
        <v>22</v>
      </c>
      <c r="F172" s="98" t="s">
        <v>1380</v>
      </c>
    </row>
    <row r="173" spans="1:6" ht="28" x14ac:dyDescent="0.3">
      <c r="A173" s="94"/>
      <c r="B173" s="94"/>
      <c r="C173" s="94" t="s">
        <v>1381</v>
      </c>
      <c r="D173" s="94" t="s">
        <v>775</v>
      </c>
      <c r="E173" s="95" t="s">
        <v>21</v>
      </c>
      <c r="F173" s="98" t="s">
        <v>1389</v>
      </c>
    </row>
    <row r="174" spans="1:6" ht="28" x14ac:dyDescent="0.3">
      <c r="A174" s="94"/>
      <c r="B174" s="94"/>
      <c r="C174" s="94" t="s">
        <v>1383</v>
      </c>
      <c r="D174" s="94" t="s">
        <v>51</v>
      </c>
      <c r="E174" s="95" t="s">
        <v>21</v>
      </c>
      <c r="F174" s="98" t="s">
        <v>1390</v>
      </c>
    </row>
    <row r="175" spans="1:6" ht="56" x14ac:dyDescent="0.3">
      <c r="A175" s="94"/>
      <c r="B175" s="94"/>
      <c r="C175" s="94" t="s">
        <v>1385</v>
      </c>
      <c r="D175" s="94" t="s">
        <v>194</v>
      </c>
      <c r="E175" s="95" t="s">
        <v>26</v>
      </c>
      <c r="F175" s="98" t="s">
        <v>1391</v>
      </c>
    </row>
    <row r="176" spans="1:6" ht="112" x14ac:dyDescent="0.3">
      <c r="A176" s="99" t="s">
        <v>1474</v>
      </c>
      <c r="B176" s="99" t="s">
        <v>1475</v>
      </c>
      <c r="C176" s="99" t="s">
        <v>1379</v>
      </c>
      <c r="D176" s="99" t="s">
        <v>9</v>
      </c>
      <c r="E176" s="100" t="s">
        <v>22</v>
      </c>
      <c r="F176" s="101" t="s">
        <v>1380</v>
      </c>
    </row>
    <row r="177" spans="1:6" ht="28" x14ac:dyDescent="0.3">
      <c r="A177" s="99"/>
      <c r="B177" s="99"/>
      <c r="C177" s="99" t="s">
        <v>1381</v>
      </c>
      <c r="D177" s="99" t="s">
        <v>775</v>
      </c>
      <c r="E177" s="100" t="s">
        <v>21</v>
      </c>
      <c r="F177" s="101" t="s">
        <v>1389</v>
      </c>
    </row>
    <row r="178" spans="1:6" ht="28" x14ac:dyDescent="0.3">
      <c r="A178" s="99"/>
      <c r="B178" s="99"/>
      <c r="C178" s="99" t="s">
        <v>1383</v>
      </c>
      <c r="D178" s="99" t="s">
        <v>51</v>
      </c>
      <c r="E178" s="100" t="s">
        <v>22</v>
      </c>
      <c r="F178" s="101" t="s">
        <v>1390</v>
      </c>
    </row>
    <row r="179" spans="1:6" ht="56" x14ac:dyDescent="0.3">
      <c r="A179" s="99"/>
      <c r="B179" s="99"/>
      <c r="C179" s="99" t="s">
        <v>1385</v>
      </c>
      <c r="D179" s="99" t="s">
        <v>194</v>
      </c>
      <c r="E179" s="100" t="s">
        <v>21</v>
      </c>
      <c r="F179" s="101" t="s">
        <v>1391</v>
      </c>
    </row>
    <row r="180" spans="1:6" ht="112" x14ac:dyDescent="0.3">
      <c r="A180" s="94" t="s">
        <v>1476</v>
      </c>
      <c r="B180" s="94" t="s">
        <v>1477</v>
      </c>
      <c r="C180" s="94" t="s">
        <v>1379</v>
      </c>
      <c r="D180" s="94" t="s">
        <v>9</v>
      </c>
      <c r="E180" s="95" t="s">
        <v>22</v>
      </c>
      <c r="F180" s="98" t="s">
        <v>1380</v>
      </c>
    </row>
    <row r="181" spans="1:6" ht="28" x14ac:dyDescent="0.3">
      <c r="A181" s="94"/>
      <c r="B181" s="94"/>
      <c r="C181" s="94" t="s">
        <v>1381</v>
      </c>
      <c r="D181" s="94" t="s">
        <v>775</v>
      </c>
      <c r="E181" s="95" t="s">
        <v>21</v>
      </c>
      <c r="F181" s="98" t="s">
        <v>1389</v>
      </c>
    </row>
    <row r="182" spans="1:6" ht="28" x14ac:dyDescent="0.3">
      <c r="A182" s="94"/>
      <c r="B182" s="94"/>
      <c r="C182" s="94" t="s">
        <v>1383</v>
      </c>
      <c r="D182" s="94" t="s">
        <v>51</v>
      </c>
      <c r="E182" s="95" t="s">
        <v>21</v>
      </c>
      <c r="F182" s="98" t="s">
        <v>1390</v>
      </c>
    </row>
    <row r="183" spans="1:6" ht="56" x14ac:dyDescent="0.3">
      <c r="A183" s="94"/>
      <c r="B183" s="94"/>
      <c r="C183" s="94" t="s">
        <v>1385</v>
      </c>
      <c r="D183" s="94" t="s">
        <v>194</v>
      </c>
      <c r="E183" s="95" t="s">
        <v>26</v>
      </c>
      <c r="F183" s="98" t="s">
        <v>1391</v>
      </c>
    </row>
    <row r="184" spans="1:6" ht="112" x14ac:dyDescent="0.3">
      <c r="A184" s="99" t="s">
        <v>1478</v>
      </c>
      <c r="B184" s="99" t="s">
        <v>1479</v>
      </c>
      <c r="C184" s="99" t="s">
        <v>1379</v>
      </c>
      <c r="D184" s="99" t="s">
        <v>9</v>
      </c>
      <c r="E184" s="100" t="s">
        <v>22</v>
      </c>
      <c r="F184" s="101" t="s">
        <v>1380</v>
      </c>
    </row>
    <row r="185" spans="1:6" ht="28" x14ac:dyDescent="0.3">
      <c r="A185" s="99"/>
      <c r="B185" s="99"/>
      <c r="C185" s="99" t="s">
        <v>1381</v>
      </c>
      <c r="D185" s="99" t="s">
        <v>775</v>
      </c>
      <c r="E185" s="100" t="s">
        <v>21</v>
      </c>
      <c r="F185" s="101" t="s">
        <v>1389</v>
      </c>
    </row>
    <row r="186" spans="1:6" ht="28" x14ac:dyDescent="0.3">
      <c r="A186" s="99"/>
      <c r="B186" s="99"/>
      <c r="C186" s="99" t="s">
        <v>1383</v>
      </c>
      <c r="D186" s="99" t="s">
        <v>51</v>
      </c>
      <c r="E186" s="100" t="s">
        <v>21</v>
      </c>
      <c r="F186" s="101" t="s">
        <v>1390</v>
      </c>
    </row>
    <row r="187" spans="1:6" ht="56" x14ac:dyDescent="0.3">
      <c r="A187" s="99"/>
      <c r="B187" s="99"/>
      <c r="C187" s="99" t="s">
        <v>1385</v>
      </c>
      <c r="D187" s="99" t="s">
        <v>194</v>
      </c>
      <c r="E187" s="100" t="s">
        <v>26</v>
      </c>
      <c r="F187" s="101" t="s">
        <v>1391</v>
      </c>
    </row>
    <row r="188" spans="1:6" ht="112" x14ac:dyDescent="0.3">
      <c r="A188" s="94" t="s">
        <v>1480</v>
      </c>
      <c r="B188" s="94" t="s">
        <v>1481</v>
      </c>
      <c r="C188" s="94" t="s">
        <v>1379</v>
      </c>
      <c r="D188" s="94" t="s">
        <v>9</v>
      </c>
      <c r="E188" s="95" t="s">
        <v>22</v>
      </c>
      <c r="F188" s="98" t="s">
        <v>1380</v>
      </c>
    </row>
    <row r="189" spans="1:6" ht="28" x14ac:dyDescent="0.3">
      <c r="A189" s="94"/>
      <c r="B189" s="94"/>
      <c r="C189" s="94" t="s">
        <v>1381</v>
      </c>
      <c r="D189" s="94" t="s">
        <v>775</v>
      </c>
      <c r="E189" s="95" t="s">
        <v>21</v>
      </c>
      <c r="F189" s="98" t="s">
        <v>1389</v>
      </c>
    </row>
    <row r="190" spans="1:6" ht="28" x14ac:dyDescent="0.3">
      <c r="A190" s="94"/>
      <c r="B190" s="94"/>
      <c r="C190" s="94" t="s">
        <v>1383</v>
      </c>
      <c r="D190" s="94" t="s">
        <v>51</v>
      </c>
      <c r="E190" s="95" t="s">
        <v>22</v>
      </c>
      <c r="F190" s="98" t="s">
        <v>1390</v>
      </c>
    </row>
    <row r="191" spans="1:6" ht="56" x14ac:dyDescent="0.3">
      <c r="A191" s="94"/>
      <c r="B191" s="94"/>
      <c r="C191" s="94" t="s">
        <v>1385</v>
      </c>
      <c r="D191" s="94" t="s">
        <v>194</v>
      </c>
      <c r="E191" s="95" t="s">
        <v>21</v>
      </c>
      <c r="F191" s="98" t="s">
        <v>1391</v>
      </c>
    </row>
    <row r="192" spans="1:6" ht="112" x14ac:dyDescent="0.3">
      <c r="A192" s="99" t="s">
        <v>1482</v>
      </c>
      <c r="B192" s="99" t="s">
        <v>1483</v>
      </c>
      <c r="C192" s="99" t="s">
        <v>1379</v>
      </c>
      <c r="D192" s="99" t="s">
        <v>9</v>
      </c>
      <c r="E192" s="100" t="s">
        <v>22</v>
      </c>
      <c r="F192" s="101" t="s">
        <v>1380</v>
      </c>
    </row>
    <row r="193" spans="1:6" ht="28" x14ac:dyDescent="0.3">
      <c r="A193" s="99"/>
      <c r="B193" s="99"/>
      <c r="C193" s="99" t="s">
        <v>1381</v>
      </c>
      <c r="D193" s="99" t="s">
        <v>775</v>
      </c>
      <c r="E193" s="100" t="s">
        <v>21</v>
      </c>
      <c r="F193" s="101" t="s">
        <v>1389</v>
      </c>
    </row>
    <row r="194" spans="1:6" ht="28" x14ac:dyDescent="0.3">
      <c r="A194" s="99"/>
      <c r="B194" s="99"/>
      <c r="C194" s="99" t="s">
        <v>1383</v>
      </c>
      <c r="D194" s="99" t="s">
        <v>51</v>
      </c>
      <c r="E194" s="100" t="s">
        <v>21</v>
      </c>
      <c r="F194" s="101" t="s">
        <v>1390</v>
      </c>
    </row>
    <row r="195" spans="1:6" ht="56" x14ac:dyDescent="0.3">
      <c r="A195" s="99"/>
      <c r="B195" s="99"/>
      <c r="C195" s="99" t="s">
        <v>1385</v>
      </c>
      <c r="D195" s="99" t="s">
        <v>194</v>
      </c>
      <c r="E195" s="100" t="s">
        <v>26</v>
      </c>
      <c r="F195" s="101" t="s">
        <v>1391</v>
      </c>
    </row>
    <row r="196" spans="1:6" ht="112" x14ac:dyDescent="0.3">
      <c r="A196" s="94" t="s">
        <v>1484</v>
      </c>
      <c r="B196" s="94" t="s">
        <v>1485</v>
      </c>
      <c r="C196" s="94" t="s">
        <v>1379</v>
      </c>
      <c r="D196" s="94" t="s">
        <v>9</v>
      </c>
      <c r="E196" s="95" t="s">
        <v>22</v>
      </c>
      <c r="F196" s="98" t="s">
        <v>1380</v>
      </c>
    </row>
    <row r="197" spans="1:6" ht="28" x14ac:dyDescent="0.3">
      <c r="A197" s="94"/>
      <c r="B197" s="94"/>
      <c r="C197" s="94" t="s">
        <v>1381</v>
      </c>
      <c r="D197" s="94" t="s">
        <v>775</v>
      </c>
      <c r="E197" s="95" t="s">
        <v>21</v>
      </c>
      <c r="F197" s="98" t="s">
        <v>1389</v>
      </c>
    </row>
    <row r="198" spans="1:6" ht="28" x14ac:dyDescent="0.3">
      <c r="A198" s="94"/>
      <c r="B198" s="94"/>
      <c r="C198" s="94" t="s">
        <v>1383</v>
      </c>
      <c r="D198" s="94" t="s">
        <v>51</v>
      </c>
      <c r="E198" s="95" t="s">
        <v>22</v>
      </c>
      <c r="F198" s="98" t="s">
        <v>1390</v>
      </c>
    </row>
    <row r="199" spans="1:6" ht="56" x14ac:dyDescent="0.3">
      <c r="A199" s="94"/>
      <c r="B199" s="94"/>
      <c r="C199" s="94" t="s">
        <v>1385</v>
      </c>
      <c r="D199" s="94" t="s">
        <v>194</v>
      </c>
      <c r="E199" s="95" t="s">
        <v>21</v>
      </c>
      <c r="F199" s="98" t="s">
        <v>1391</v>
      </c>
    </row>
    <row r="200" spans="1:6" ht="112" x14ac:dyDescent="0.3">
      <c r="A200" s="99" t="s">
        <v>1486</v>
      </c>
      <c r="B200" s="99" t="s">
        <v>1487</v>
      </c>
      <c r="C200" s="99" t="s">
        <v>1379</v>
      </c>
      <c r="D200" s="99" t="s">
        <v>9</v>
      </c>
      <c r="E200" s="100" t="s">
        <v>22</v>
      </c>
      <c r="F200" s="101" t="s">
        <v>1380</v>
      </c>
    </row>
    <row r="201" spans="1:6" ht="28" x14ac:dyDescent="0.3">
      <c r="A201" s="99"/>
      <c r="B201" s="99"/>
      <c r="C201" s="99" t="s">
        <v>1381</v>
      </c>
      <c r="D201" s="99" t="s">
        <v>775</v>
      </c>
      <c r="E201" s="100" t="s">
        <v>21</v>
      </c>
      <c r="F201" s="101" t="s">
        <v>1389</v>
      </c>
    </row>
    <row r="202" spans="1:6" ht="28" x14ac:dyDescent="0.3">
      <c r="A202" s="99"/>
      <c r="B202" s="99"/>
      <c r="C202" s="99" t="s">
        <v>1383</v>
      </c>
      <c r="D202" s="99" t="s">
        <v>51</v>
      </c>
      <c r="E202" s="100" t="s">
        <v>21</v>
      </c>
      <c r="F202" s="101" t="s">
        <v>1390</v>
      </c>
    </row>
    <row r="203" spans="1:6" ht="56" x14ac:dyDescent="0.3">
      <c r="A203" s="99"/>
      <c r="B203" s="99"/>
      <c r="C203" s="99" t="s">
        <v>1385</v>
      </c>
      <c r="D203" s="99" t="s">
        <v>194</v>
      </c>
      <c r="E203" s="100" t="s">
        <v>26</v>
      </c>
      <c r="F203" s="101" t="s">
        <v>1391</v>
      </c>
    </row>
    <row r="204" spans="1:6" ht="112" x14ac:dyDescent="0.3">
      <c r="A204" s="94" t="s">
        <v>1488</v>
      </c>
      <c r="B204" s="94" t="s">
        <v>1489</v>
      </c>
      <c r="C204" s="94" t="s">
        <v>1379</v>
      </c>
      <c r="D204" s="94" t="s">
        <v>9</v>
      </c>
      <c r="E204" s="95" t="s">
        <v>22</v>
      </c>
      <c r="F204" s="98" t="s">
        <v>1380</v>
      </c>
    </row>
    <row r="205" spans="1:6" ht="28" x14ac:dyDescent="0.3">
      <c r="A205" s="94"/>
      <c r="B205" s="94"/>
      <c r="C205" s="94" t="s">
        <v>1381</v>
      </c>
      <c r="D205" s="94" t="s">
        <v>775</v>
      </c>
      <c r="E205" s="95" t="s">
        <v>21</v>
      </c>
      <c r="F205" s="98" t="s">
        <v>1389</v>
      </c>
    </row>
    <row r="206" spans="1:6" ht="28" x14ac:dyDescent="0.3">
      <c r="A206" s="94"/>
      <c r="B206" s="94"/>
      <c r="C206" s="94" t="s">
        <v>1383</v>
      </c>
      <c r="D206" s="94" t="s">
        <v>51</v>
      </c>
      <c r="E206" s="95" t="s">
        <v>22</v>
      </c>
      <c r="F206" s="98" t="s">
        <v>1390</v>
      </c>
    </row>
    <row r="207" spans="1:6" ht="56" x14ac:dyDescent="0.3">
      <c r="A207" s="94"/>
      <c r="B207" s="94"/>
      <c r="C207" s="94" t="s">
        <v>1385</v>
      </c>
      <c r="D207" s="94" t="s">
        <v>194</v>
      </c>
      <c r="E207" s="95" t="s">
        <v>21</v>
      </c>
      <c r="F207" s="98" t="s">
        <v>1391</v>
      </c>
    </row>
    <row r="208" spans="1:6" ht="112" x14ac:dyDescent="0.3">
      <c r="A208" s="99" t="s">
        <v>1490</v>
      </c>
      <c r="B208" s="99" t="s">
        <v>1491</v>
      </c>
      <c r="C208" s="99" t="s">
        <v>1379</v>
      </c>
      <c r="D208" s="99" t="s">
        <v>9</v>
      </c>
      <c r="E208" s="100" t="s">
        <v>22</v>
      </c>
      <c r="F208" s="101" t="s">
        <v>1380</v>
      </c>
    </row>
    <row r="209" spans="1:6" ht="28" x14ac:dyDescent="0.3">
      <c r="A209" s="99"/>
      <c r="B209" s="99"/>
      <c r="C209" s="99" t="s">
        <v>1381</v>
      </c>
      <c r="D209" s="99" t="s">
        <v>775</v>
      </c>
      <c r="E209" s="100" t="s">
        <v>21</v>
      </c>
      <c r="F209" s="101" t="s">
        <v>1389</v>
      </c>
    </row>
    <row r="210" spans="1:6" ht="28" x14ac:dyDescent="0.3">
      <c r="A210" s="99"/>
      <c r="B210" s="99"/>
      <c r="C210" s="99" t="s">
        <v>1383</v>
      </c>
      <c r="D210" s="99" t="s">
        <v>51</v>
      </c>
      <c r="E210" s="100" t="s">
        <v>21</v>
      </c>
      <c r="F210" s="101" t="s">
        <v>1390</v>
      </c>
    </row>
    <row r="211" spans="1:6" ht="56" x14ac:dyDescent="0.3">
      <c r="A211" s="99"/>
      <c r="B211" s="99"/>
      <c r="C211" s="99" t="s">
        <v>1385</v>
      </c>
      <c r="D211" s="99" t="s">
        <v>194</v>
      </c>
      <c r="E211" s="100" t="s">
        <v>21</v>
      </c>
      <c r="F211" s="101" t="s">
        <v>1391</v>
      </c>
    </row>
    <row r="212" spans="1:6" ht="112" x14ac:dyDescent="0.3">
      <c r="A212" s="94" t="s">
        <v>1492</v>
      </c>
      <c r="B212" s="94" t="s">
        <v>1493</v>
      </c>
      <c r="C212" s="94" t="s">
        <v>1379</v>
      </c>
      <c r="D212" s="94" t="s">
        <v>9</v>
      </c>
      <c r="E212" s="95" t="s">
        <v>22</v>
      </c>
      <c r="F212" s="98" t="s">
        <v>1380</v>
      </c>
    </row>
    <row r="213" spans="1:6" ht="28" x14ac:dyDescent="0.3">
      <c r="A213" s="94"/>
      <c r="B213" s="94"/>
      <c r="C213" s="94" t="s">
        <v>1381</v>
      </c>
      <c r="D213" s="94" t="s">
        <v>775</v>
      </c>
      <c r="E213" s="95" t="s">
        <v>21</v>
      </c>
      <c r="F213" s="98" t="s">
        <v>1389</v>
      </c>
    </row>
    <row r="214" spans="1:6" ht="28" x14ac:dyDescent="0.3">
      <c r="A214" s="94"/>
      <c r="B214" s="94"/>
      <c r="C214" s="94" t="s">
        <v>1383</v>
      </c>
      <c r="D214" s="94" t="s">
        <v>51</v>
      </c>
      <c r="E214" s="95" t="s">
        <v>21</v>
      </c>
      <c r="F214" s="98" t="s">
        <v>1390</v>
      </c>
    </row>
    <row r="215" spans="1:6" ht="56" x14ac:dyDescent="0.3">
      <c r="A215" s="94"/>
      <c r="B215" s="94"/>
      <c r="C215" s="94" t="s">
        <v>1385</v>
      </c>
      <c r="D215" s="94" t="s">
        <v>194</v>
      </c>
      <c r="E215" s="95" t="s">
        <v>26</v>
      </c>
      <c r="F215" s="98" t="s">
        <v>1391</v>
      </c>
    </row>
    <row r="216" spans="1:6" ht="112" x14ac:dyDescent="0.3">
      <c r="A216" s="99" t="s">
        <v>1494</v>
      </c>
      <c r="B216" s="99" t="s">
        <v>1495</v>
      </c>
      <c r="C216" s="99" t="s">
        <v>1379</v>
      </c>
      <c r="D216" s="99" t="s">
        <v>9</v>
      </c>
      <c r="E216" s="100" t="s">
        <v>22</v>
      </c>
      <c r="F216" s="101" t="s">
        <v>1380</v>
      </c>
    </row>
    <row r="217" spans="1:6" ht="28" x14ac:dyDescent="0.3">
      <c r="A217" s="99"/>
      <c r="B217" s="99"/>
      <c r="C217" s="99" t="s">
        <v>1381</v>
      </c>
      <c r="D217" s="99" t="s">
        <v>775</v>
      </c>
      <c r="E217" s="100" t="s">
        <v>21</v>
      </c>
      <c r="F217" s="101" t="s">
        <v>1389</v>
      </c>
    </row>
    <row r="218" spans="1:6" ht="28" x14ac:dyDescent="0.3">
      <c r="A218" s="99"/>
      <c r="B218" s="99"/>
      <c r="C218" s="99" t="s">
        <v>1383</v>
      </c>
      <c r="D218" s="99" t="s">
        <v>51</v>
      </c>
      <c r="E218" s="100" t="s">
        <v>21</v>
      </c>
      <c r="F218" s="101" t="s">
        <v>1390</v>
      </c>
    </row>
    <row r="219" spans="1:6" ht="56" x14ac:dyDescent="0.3">
      <c r="A219" s="99"/>
      <c r="B219" s="99"/>
      <c r="C219" s="99" t="s">
        <v>1385</v>
      </c>
      <c r="D219" s="99" t="s">
        <v>194</v>
      </c>
      <c r="E219" s="100" t="s">
        <v>21</v>
      </c>
      <c r="F219" s="101" t="s">
        <v>1391</v>
      </c>
    </row>
    <row r="220" spans="1:6" ht="112" x14ac:dyDescent="0.3">
      <c r="A220" s="94" t="s">
        <v>1496</v>
      </c>
      <c r="B220" s="94" t="s">
        <v>1497</v>
      </c>
      <c r="C220" s="94" t="s">
        <v>1379</v>
      </c>
      <c r="D220" s="94" t="s">
        <v>9</v>
      </c>
      <c r="E220" s="95" t="s">
        <v>22</v>
      </c>
      <c r="F220" s="98" t="s">
        <v>1380</v>
      </c>
    </row>
    <row r="221" spans="1:6" ht="28" x14ac:dyDescent="0.3">
      <c r="A221" s="94"/>
      <c r="B221" s="94"/>
      <c r="C221" s="94" t="s">
        <v>1381</v>
      </c>
      <c r="D221" s="94" t="s">
        <v>775</v>
      </c>
      <c r="E221" s="95" t="s">
        <v>21</v>
      </c>
      <c r="F221" s="98" t="s">
        <v>1389</v>
      </c>
    </row>
    <row r="222" spans="1:6" ht="28" x14ac:dyDescent="0.3">
      <c r="A222" s="94"/>
      <c r="B222" s="94"/>
      <c r="C222" s="94" t="s">
        <v>1383</v>
      </c>
      <c r="D222" s="94" t="s">
        <v>51</v>
      </c>
      <c r="E222" s="95" t="s">
        <v>21</v>
      </c>
      <c r="F222" s="98" t="s">
        <v>1390</v>
      </c>
    </row>
    <row r="223" spans="1:6" ht="56" x14ac:dyDescent="0.3">
      <c r="A223" s="94"/>
      <c r="B223" s="94"/>
      <c r="C223" s="94" t="s">
        <v>1385</v>
      </c>
      <c r="D223" s="94" t="s">
        <v>194</v>
      </c>
      <c r="E223" s="95" t="s">
        <v>21</v>
      </c>
      <c r="F223" s="98" t="s">
        <v>1391</v>
      </c>
    </row>
    <row r="224" spans="1:6" ht="112" x14ac:dyDescent="0.3">
      <c r="A224" s="99" t="s">
        <v>1498</v>
      </c>
      <c r="B224" s="99" t="s">
        <v>1499</v>
      </c>
      <c r="C224" s="99" t="s">
        <v>1379</v>
      </c>
      <c r="D224" s="99" t="s">
        <v>9</v>
      </c>
      <c r="E224" s="100" t="s">
        <v>22</v>
      </c>
      <c r="F224" s="101" t="s">
        <v>1380</v>
      </c>
    </row>
    <row r="225" spans="1:6" ht="28" x14ac:dyDescent="0.3">
      <c r="A225" s="99"/>
      <c r="B225" s="99"/>
      <c r="C225" s="99" t="s">
        <v>1381</v>
      </c>
      <c r="D225" s="99" t="s">
        <v>775</v>
      </c>
      <c r="E225" s="100" t="s">
        <v>21</v>
      </c>
      <c r="F225" s="101" t="s">
        <v>1389</v>
      </c>
    </row>
    <row r="226" spans="1:6" ht="28" x14ac:dyDescent="0.3">
      <c r="A226" s="99"/>
      <c r="B226" s="99"/>
      <c r="C226" s="99" t="s">
        <v>1383</v>
      </c>
      <c r="D226" s="99" t="s">
        <v>51</v>
      </c>
      <c r="E226" s="100" t="s">
        <v>21</v>
      </c>
      <c r="F226" s="101" t="s">
        <v>1390</v>
      </c>
    </row>
    <row r="227" spans="1:6" ht="56" x14ac:dyDescent="0.3">
      <c r="A227" s="99"/>
      <c r="B227" s="99"/>
      <c r="C227" s="99" t="s">
        <v>1385</v>
      </c>
      <c r="D227" s="99" t="s">
        <v>194</v>
      </c>
      <c r="E227" s="100" t="s">
        <v>21</v>
      </c>
      <c r="F227" s="101" t="s">
        <v>1391</v>
      </c>
    </row>
    <row r="228" spans="1:6" ht="112" x14ac:dyDescent="0.3">
      <c r="A228" s="94" t="s">
        <v>1500</v>
      </c>
      <c r="B228" s="94" t="s">
        <v>1501</v>
      </c>
      <c r="C228" s="94" t="s">
        <v>1379</v>
      </c>
      <c r="D228" s="94" t="s">
        <v>9</v>
      </c>
      <c r="E228" s="95" t="s">
        <v>22</v>
      </c>
      <c r="F228" s="98" t="s">
        <v>1380</v>
      </c>
    </row>
    <row r="229" spans="1:6" ht="28" x14ac:dyDescent="0.3">
      <c r="A229" s="94"/>
      <c r="B229" s="94"/>
      <c r="C229" s="94" t="s">
        <v>1381</v>
      </c>
      <c r="D229" s="94" t="s">
        <v>775</v>
      </c>
      <c r="E229" s="95" t="s">
        <v>21</v>
      </c>
      <c r="F229" s="98" t="s">
        <v>1389</v>
      </c>
    </row>
    <row r="230" spans="1:6" ht="28" x14ac:dyDescent="0.3">
      <c r="A230" s="94"/>
      <c r="B230" s="94"/>
      <c r="C230" s="94" t="s">
        <v>1383</v>
      </c>
      <c r="D230" s="94" t="s">
        <v>51</v>
      </c>
      <c r="E230" s="95" t="s">
        <v>21</v>
      </c>
      <c r="F230" s="98" t="s">
        <v>1390</v>
      </c>
    </row>
    <row r="231" spans="1:6" ht="56" x14ac:dyDescent="0.3">
      <c r="A231" s="94"/>
      <c r="B231" s="94"/>
      <c r="C231" s="94" t="s">
        <v>1385</v>
      </c>
      <c r="D231" s="94" t="s">
        <v>194</v>
      </c>
      <c r="E231" s="95" t="s">
        <v>21</v>
      </c>
      <c r="F231" s="98" t="s">
        <v>1391</v>
      </c>
    </row>
    <row r="232" spans="1:6" ht="112" x14ac:dyDescent="0.3">
      <c r="A232" s="99" t="s">
        <v>1502</v>
      </c>
      <c r="B232" s="99" t="s">
        <v>1503</v>
      </c>
      <c r="C232" s="99" t="s">
        <v>1379</v>
      </c>
      <c r="D232" s="99" t="s">
        <v>9</v>
      </c>
      <c r="E232" s="100" t="s">
        <v>22</v>
      </c>
      <c r="F232" s="101" t="s">
        <v>1380</v>
      </c>
    </row>
    <row r="233" spans="1:6" ht="28" x14ac:dyDescent="0.3">
      <c r="A233" s="99"/>
      <c r="B233" s="99"/>
      <c r="C233" s="99" t="s">
        <v>1381</v>
      </c>
      <c r="D233" s="99" t="s">
        <v>775</v>
      </c>
      <c r="E233" s="100" t="s">
        <v>21</v>
      </c>
      <c r="F233" s="101" t="s">
        <v>1389</v>
      </c>
    </row>
    <row r="234" spans="1:6" ht="28" x14ac:dyDescent="0.3">
      <c r="A234" s="99"/>
      <c r="B234" s="99"/>
      <c r="C234" s="99" t="s">
        <v>1383</v>
      </c>
      <c r="D234" s="99" t="s">
        <v>51</v>
      </c>
      <c r="E234" s="100" t="s">
        <v>21</v>
      </c>
      <c r="F234" s="101" t="s">
        <v>1390</v>
      </c>
    </row>
    <row r="235" spans="1:6" ht="56" x14ac:dyDescent="0.3">
      <c r="A235" s="99"/>
      <c r="B235" s="99"/>
      <c r="C235" s="99" t="s">
        <v>1385</v>
      </c>
      <c r="D235" s="99" t="s">
        <v>194</v>
      </c>
      <c r="E235" s="100" t="s">
        <v>21</v>
      </c>
      <c r="F235" s="101" t="s">
        <v>1391</v>
      </c>
    </row>
    <row r="236" spans="1:6" ht="112" x14ac:dyDescent="0.3">
      <c r="A236" s="94" t="s">
        <v>1504</v>
      </c>
      <c r="B236" s="94" t="s">
        <v>1505</v>
      </c>
      <c r="C236" s="94" t="s">
        <v>1379</v>
      </c>
      <c r="D236" s="94" t="s">
        <v>9</v>
      </c>
      <c r="E236" s="95" t="s">
        <v>22</v>
      </c>
      <c r="F236" s="98" t="s">
        <v>1380</v>
      </c>
    </row>
    <row r="237" spans="1:6" ht="28" x14ac:dyDescent="0.3">
      <c r="A237" s="94"/>
      <c r="B237" s="94"/>
      <c r="C237" s="94" t="s">
        <v>1381</v>
      </c>
      <c r="D237" s="94" t="s">
        <v>775</v>
      </c>
      <c r="E237" s="95" t="s">
        <v>21</v>
      </c>
      <c r="F237" s="98" t="s">
        <v>1389</v>
      </c>
    </row>
    <row r="238" spans="1:6" ht="28" x14ac:dyDescent="0.3">
      <c r="A238" s="94"/>
      <c r="B238" s="94"/>
      <c r="C238" s="94" t="s">
        <v>1383</v>
      </c>
      <c r="D238" s="94" t="s">
        <v>51</v>
      </c>
      <c r="E238" s="95" t="s">
        <v>22</v>
      </c>
      <c r="F238" s="98" t="s">
        <v>1390</v>
      </c>
    </row>
    <row r="239" spans="1:6" ht="56" x14ac:dyDescent="0.3">
      <c r="A239" s="94"/>
      <c r="B239" s="94"/>
      <c r="C239" s="94" t="s">
        <v>1385</v>
      </c>
      <c r="D239" s="94" t="s">
        <v>194</v>
      </c>
      <c r="E239" s="95" t="s">
        <v>21</v>
      </c>
      <c r="F239" s="98" t="s">
        <v>1391</v>
      </c>
    </row>
    <row r="240" spans="1:6" ht="112" x14ac:dyDescent="0.3">
      <c r="A240" s="99" t="s">
        <v>1506</v>
      </c>
      <c r="B240" s="99" t="s">
        <v>1507</v>
      </c>
      <c r="C240" s="99" t="s">
        <v>1379</v>
      </c>
      <c r="D240" s="99" t="s">
        <v>9</v>
      </c>
      <c r="E240" s="100" t="s">
        <v>22</v>
      </c>
      <c r="F240" s="101" t="s">
        <v>1380</v>
      </c>
    </row>
    <row r="241" spans="1:6" ht="28" x14ac:dyDescent="0.3">
      <c r="A241" s="99"/>
      <c r="B241" s="99"/>
      <c r="C241" s="99" t="s">
        <v>1381</v>
      </c>
      <c r="D241" s="99" t="s">
        <v>775</v>
      </c>
      <c r="E241" s="100" t="s">
        <v>21</v>
      </c>
      <c r="F241" s="101" t="s">
        <v>1389</v>
      </c>
    </row>
    <row r="242" spans="1:6" ht="28" x14ac:dyDescent="0.3">
      <c r="A242" s="99"/>
      <c r="B242" s="99"/>
      <c r="C242" s="99" t="s">
        <v>1383</v>
      </c>
      <c r="D242" s="99" t="s">
        <v>51</v>
      </c>
      <c r="E242" s="100" t="s">
        <v>22</v>
      </c>
      <c r="F242" s="101" t="s">
        <v>1390</v>
      </c>
    </row>
    <row r="243" spans="1:6" ht="56" x14ac:dyDescent="0.3">
      <c r="A243" s="99"/>
      <c r="B243" s="99"/>
      <c r="C243" s="99" t="s">
        <v>1385</v>
      </c>
      <c r="D243" s="99" t="s">
        <v>194</v>
      </c>
      <c r="E243" s="100" t="s">
        <v>21</v>
      </c>
      <c r="F243" s="101" t="s">
        <v>1391</v>
      </c>
    </row>
    <row r="244" spans="1:6" ht="112" x14ac:dyDescent="0.3">
      <c r="A244" s="94" t="s">
        <v>1508</v>
      </c>
      <c r="B244" s="94" t="s">
        <v>1509</v>
      </c>
      <c r="C244" s="94" t="s">
        <v>1379</v>
      </c>
      <c r="D244" s="94" t="s">
        <v>9</v>
      </c>
      <c r="E244" s="95" t="s">
        <v>22</v>
      </c>
      <c r="F244" s="98" t="s">
        <v>1380</v>
      </c>
    </row>
    <row r="245" spans="1:6" ht="28" x14ac:dyDescent="0.3">
      <c r="A245" s="94"/>
      <c r="B245" s="94"/>
      <c r="C245" s="94" t="s">
        <v>1381</v>
      </c>
      <c r="D245" s="94" t="s">
        <v>775</v>
      </c>
      <c r="E245" s="95" t="s">
        <v>21</v>
      </c>
      <c r="F245" s="98" t="s">
        <v>1389</v>
      </c>
    </row>
    <row r="246" spans="1:6" ht="28" x14ac:dyDescent="0.3">
      <c r="A246" s="94"/>
      <c r="B246" s="94"/>
      <c r="C246" s="94" t="s">
        <v>1383</v>
      </c>
      <c r="D246" s="94" t="s">
        <v>51</v>
      </c>
      <c r="E246" s="95" t="s">
        <v>22</v>
      </c>
      <c r="F246" s="98" t="s">
        <v>1390</v>
      </c>
    </row>
    <row r="247" spans="1:6" ht="56" x14ac:dyDescent="0.3">
      <c r="A247" s="94"/>
      <c r="B247" s="94"/>
      <c r="C247" s="94" t="s">
        <v>1385</v>
      </c>
      <c r="D247" s="94" t="s">
        <v>194</v>
      </c>
      <c r="E247" s="95" t="s">
        <v>21</v>
      </c>
      <c r="F247" s="98" t="s">
        <v>1391</v>
      </c>
    </row>
    <row r="248" spans="1:6" ht="112" x14ac:dyDescent="0.3">
      <c r="A248" s="99" t="s">
        <v>1510</v>
      </c>
      <c r="B248" s="99" t="s">
        <v>1511</v>
      </c>
      <c r="C248" s="99" t="s">
        <v>1379</v>
      </c>
      <c r="D248" s="99" t="s">
        <v>9</v>
      </c>
      <c r="E248" s="100" t="s">
        <v>22</v>
      </c>
      <c r="F248" s="101" t="s">
        <v>1380</v>
      </c>
    </row>
    <row r="249" spans="1:6" ht="28" x14ac:dyDescent="0.3">
      <c r="A249" s="99"/>
      <c r="B249" s="99"/>
      <c r="C249" s="99" t="s">
        <v>1381</v>
      </c>
      <c r="D249" s="99" t="s">
        <v>775</v>
      </c>
      <c r="E249" s="100" t="s">
        <v>21</v>
      </c>
      <c r="F249" s="101" t="s">
        <v>1389</v>
      </c>
    </row>
    <row r="250" spans="1:6" ht="28" x14ac:dyDescent="0.3">
      <c r="A250" s="99"/>
      <c r="B250" s="99"/>
      <c r="C250" s="99" t="s">
        <v>1383</v>
      </c>
      <c r="D250" s="99" t="s">
        <v>51</v>
      </c>
      <c r="E250" s="100" t="s">
        <v>22</v>
      </c>
      <c r="F250" s="101" t="s">
        <v>1390</v>
      </c>
    </row>
    <row r="251" spans="1:6" ht="56" x14ac:dyDescent="0.3">
      <c r="A251" s="99"/>
      <c r="B251" s="99"/>
      <c r="C251" s="99" t="s">
        <v>1385</v>
      </c>
      <c r="D251" s="99" t="s">
        <v>194</v>
      </c>
      <c r="E251" s="100" t="s">
        <v>21</v>
      </c>
      <c r="F251" s="101" t="s">
        <v>1391</v>
      </c>
    </row>
    <row r="252" spans="1:6" ht="112" x14ac:dyDescent="0.3">
      <c r="A252" s="94" t="s">
        <v>1512</v>
      </c>
      <c r="B252" s="94" t="s">
        <v>1513</v>
      </c>
      <c r="C252" s="94" t="s">
        <v>1379</v>
      </c>
      <c r="D252" s="94" t="s">
        <v>9</v>
      </c>
      <c r="E252" s="95" t="s">
        <v>22</v>
      </c>
      <c r="F252" s="98" t="s">
        <v>1380</v>
      </c>
    </row>
    <row r="253" spans="1:6" ht="28" x14ac:dyDescent="0.3">
      <c r="A253" s="94"/>
      <c r="B253" s="94"/>
      <c r="C253" s="94" t="s">
        <v>1381</v>
      </c>
      <c r="D253" s="94" t="s">
        <v>775</v>
      </c>
      <c r="E253" s="95" t="s">
        <v>21</v>
      </c>
      <c r="F253" s="98" t="s">
        <v>1389</v>
      </c>
    </row>
    <row r="254" spans="1:6" ht="28" x14ac:dyDescent="0.3">
      <c r="A254" s="94"/>
      <c r="B254" s="94"/>
      <c r="C254" s="94" t="s">
        <v>1383</v>
      </c>
      <c r="D254" s="94" t="s">
        <v>51</v>
      </c>
      <c r="E254" s="95" t="s">
        <v>22</v>
      </c>
      <c r="F254" s="98" t="s">
        <v>1390</v>
      </c>
    </row>
    <row r="255" spans="1:6" ht="56" x14ac:dyDescent="0.3">
      <c r="A255" s="94"/>
      <c r="B255" s="94"/>
      <c r="C255" s="94" t="s">
        <v>1385</v>
      </c>
      <c r="D255" s="94" t="s">
        <v>194</v>
      </c>
      <c r="E255" s="95" t="s">
        <v>21</v>
      </c>
      <c r="F255" s="98" t="s">
        <v>1391</v>
      </c>
    </row>
    <row r="256" spans="1:6" ht="112" x14ac:dyDescent="0.3">
      <c r="A256" s="99" t="s">
        <v>1514</v>
      </c>
      <c r="B256" s="99" t="s">
        <v>1515</v>
      </c>
      <c r="C256" s="99" t="s">
        <v>1379</v>
      </c>
      <c r="D256" s="99" t="s">
        <v>9</v>
      </c>
      <c r="E256" s="100" t="s">
        <v>22</v>
      </c>
      <c r="F256" s="101" t="s">
        <v>1380</v>
      </c>
    </row>
    <row r="257" spans="1:6" ht="28" x14ac:dyDescent="0.3">
      <c r="A257" s="99"/>
      <c r="B257" s="99"/>
      <c r="C257" s="99" t="s">
        <v>1381</v>
      </c>
      <c r="D257" s="99" t="s">
        <v>775</v>
      </c>
      <c r="E257" s="100" t="s">
        <v>21</v>
      </c>
      <c r="F257" s="101" t="s">
        <v>1389</v>
      </c>
    </row>
    <row r="258" spans="1:6" ht="28" x14ac:dyDescent="0.3">
      <c r="A258" s="99"/>
      <c r="B258" s="99"/>
      <c r="C258" s="99" t="s">
        <v>1383</v>
      </c>
      <c r="D258" s="99" t="s">
        <v>51</v>
      </c>
      <c r="E258" s="100" t="s">
        <v>22</v>
      </c>
      <c r="F258" s="101" t="s">
        <v>1390</v>
      </c>
    </row>
    <row r="259" spans="1:6" ht="56" x14ac:dyDescent="0.3">
      <c r="A259" s="99"/>
      <c r="B259" s="99"/>
      <c r="C259" s="99" t="s">
        <v>1385</v>
      </c>
      <c r="D259" s="99" t="s">
        <v>194</v>
      </c>
      <c r="E259" s="100" t="s">
        <v>21</v>
      </c>
      <c r="F259" s="101" t="s">
        <v>1391</v>
      </c>
    </row>
    <row r="260" spans="1:6" ht="112" x14ac:dyDescent="0.3">
      <c r="A260" s="94" t="s">
        <v>1516</v>
      </c>
      <c r="B260" s="94" t="s">
        <v>1517</v>
      </c>
      <c r="C260" s="94" t="s">
        <v>1379</v>
      </c>
      <c r="D260" s="94" t="s">
        <v>9</v>
      </c>
      <c r="E260" s="95" t="s">
        <v>22</v>
      </c>
      <c r="F260" s="98" t="s">
        <v>1380</v>
      </c>
    </row>
    <row r="261" spans="1:6" ht="28" x14ac:dyDescent="0.3">
      <c r="A261" s="94"/>
      <c r="B261" s="94"/>
      <c r="C261" s="94" t="s">
        <v>1381</v>
      </c>
      <c r="D261" s="94" t="s">
        <v>775</v>
      </c>
      <c r="E261" s="95" t="s">
        <v>21</v>
      </c>
      <c r="F261" s="98" t="s">
        <v>1389</v>
      </c>
    </row>
    <row r="262" spans="1:6" ht="28" x14ac:dyDescent="0.3">
      <c r="A262" s="94"/>
      <c r="B262" s="94"/>
      <c r="C262" s="94" t="s">
        <v>1383</v>
      </c>
      <c r="D262" s="94" t="s">
        <v>51</v>
      </c>
      <c r="E262" s="95" t="s">
        <v>22</v>
      </c>
      <c r="F262" s="98" t="s">
        <v>1390</v>
      </c>
    </row>
    <row r="263" spans="1:6" ht="56" x14ac:dyDescent="0.3">
      <c r="A263" s="94"/>
      <c r="B263" s="94"/>
      <c r="C263" s="94" t="s">
        <v>1385</v>
      </c>
      <c r="D263" s="94" t="s">
        <v>194</v>
      </c>
      <c r="E263" s="95" t="s">
        <v>21</v>
      </c>
      <c r="F263" s="98" t="s">
        <v>1391</v>
      </c>
    </row>
    <row r="264" spans="1:6" ht="112" x14ac:dyDescent="0.3">
      <c r="A264" s="99" t="s">
        <v>1518</v>
      </c>
      <c r="B264" s="99" t="s">
        <v>1519</v>
      </c>
      <c r="C264" s="99" t="s">
        <v>1379</v>
      </c>
      <c r="D264" s="99" t="s">
        <v>9</v>
      </c>
      <c r="E264" s="100" t="s">
        <v>22</v>
      </c>
      <c r="F264" s="101" t="s">
        <v>1380</v>
      </c>
    </row>
    <row r="265" spans="1:6" ht="28" x14ac:dyDescent="0.3">
      <c r="A265" s="99"/>
      <c r="B265" s="99"/>
      <c r="C265" s="99" t="s">
        <v>1381</v>
      </c>
      <c r="D265" s="99" t="s">
        <v>775</v>
      </c>
      <c r="E265" s="100" t="s">
        <v>21</v>
      </c>
      <c r="F265" s="101" t="s">
        <v>1389</v>
      </c>
    </row>
    <row r="266" spans="1:6" ht="28" x14ac:dyDescent="0.3">
      <c r="A266" s="99"/>
      <c r="B266" s="99"/>
      <c r="C266" s="99" t="s">
        <v>1383</v>
      </c>
      <c r="D266" s="99" t="s">
        <v>51</v>
      </c>
      <c r="E266" s="100" t="s">
        <v>22</v>
      </c>
      <c r="F266" s="101" t="s">
        <v>1390</v>
      </c>
    </row>
    <row r="267" spans="1:6" ht="56" x14ac:dyDescent="0.3">
      <c r="A267" s="99"/>
      <c r="B267" s="99"/>
      <c r="C267" s="99" t="s">
        <v>1385</v>
      </c>
      <c r="D267" s="99" t="s">
        <v>194</v>
      </c>
      <c r="E267" s="100" t="s">
        <v>21</v>
      </c>
      <c r="F267" s="101" t="s">
        <v>1391</v>
      </c>
    </row>
    <row r="268" spans="1:6" ht="112" x14ac:dyDescent="0.3">
      <c r="A268" s="94" t="s">
        <v>1520</v>
      </c>
      <c r="B268" s="94" t="s">
        <v>1521</v>
      </c>
      <c r="C268" s="94" t="s">
        <v>1379</v>
      </c>
      <c r="D268" s="94" t="s">
        <v>9</v>
      </c>
      <c r="E268" s="95" t="s">
        <v>22</v>
      </c>
      <c r="F268" s="98" t="s">
        <v>1380</v>
      </c>
    </row>
    <row r="269" spans="1:6" ht="28" x14ac:dyDescent="0.3">
      <c r="A269" s="94"/>
      <c r="B269" s="94"/>
      <c r="C269" s="94" t="s">
        <v>1381</v>
      </c>
      <c r="D269" s="94" t="s">
        <v>775</v>
      </c>
      <c r="E269" s="95" t="s">
        <v>21</v>
      </c>
      <c r="F269" s="98" t="s">
        <v>1389</v>
      </c>
    </row>
    <row r="270" spans="1:6" ht="28" x14ac:dyDescent="0.3">
      <c r="A270" s="94"/>
      <c r="B270" s="94"/>
      <c r="C270" s="94" t="s">
        <v>1383</v>
      </c>
      <c r="D270" s="94" t="s">
        <v>51</v>
      </c>
      <c r="E270" s="95" t="s">
        <v>22</v>
      </c>
      <c r="F270" s="98" t="s">
        <v>1390</v>
      </c>
    </row>
    <row r="271" spans="1:6" ht="56" x14ac:dyDescent="0.3">
      <c r="A271" s="94"/>
      <c r="B271" s="94"/>
      <c r="C271" s="94" t="s">
        <v>1385</v>
      </c>
      <c r="D271" s="94" t="s">
        <v>194</v>
      </c>
      <c r="E271" s="95" t="s">
        <v>21</v>
      </c>
      <c r="F271" s="98" t="s">
        <v>1391</v>
      </c>
    </row>
    <row r="272" spans="1:6" ht="112" x14ac:dyDescent="0.3">
      <c r="A272" s="99" t="s">
        <v>1522</v>
      </c>
      <c r="B272" s="99" t="s">
        <v>1523</v>
      </c>
      <c r="C272" s="99" t="s">
        <v>1379</v>
      </c>
      <c r="D272" s="99" t="s">
        <v>9</v>
      </c>
      <c r="E272" s="100" t="s">
        <v>22</v>
      </c>
      <c r="F272" s="101" t="s">
        <v>1380</v>
      </c>
    </row>
    <row r="273" spans="1:6" ht="28" x14ac:dyDescent="0.3">
      <c r="A273" s="99"/>
      <c r="B273" s="99"/>
      <c r="C273" s="99" t="s">
        <v>1381</v>
      </c>
      <c r="D273" s="99" t="s">
        <v>775</v>
      </c>
      <c r="E273" s="100" t="s">
        <v>21</v>
      </c>
      <c r="F273" s="101" t="s">
        <v>1389</v>
      </c>
    </row>
    <row r="274" spans="1:6" ht="28" x14ac:dyDescent="0.3">
      <c r="A274" s="99"/>
      <c r="B274" s="99"/>
      <c r="C274" s="99" t="s">
        <v>1383</v>
      </c>
      <c r="D274" s="99" t="s">
        <v>51</v>
      </c>
      <c r="E274" s="100" t="s">
        <v>22</v>
      </c>
      <c r="F274" s="101" t="s">
        <v>1390</v>
      </c>
    </row>
    <row r="275" spans="1:6" ht="56" x14ac:dyDescent="0.3">
      <c r="A275" s="99"/>
      <c r="B275" s="99"/>
      <c r="C275" s="99" t="s">
        <v>1385</v>
      </c>
      <c r="D275" s="99" t="s">
        <v>194</v>
      </c>
      <c r="E275" s="100" t="s">
        <v>21</v>
      </c>
      <c r="F275" s="101" t="s">
        <v>1391</v>
      </c>
    </row>
    <row r="276" spans="1:6" ht="112" x14ac:dyDescent="0.3">
      <c r="A276" s="94" t="s">
        <v>1524</v>
      </c>
      <c r="B276" s="94" t="s">
        <v>1525</v>
      </c>
      <c r="C276" s="94" t="s">
        <v>1379</v>
      </c>
      <c r="D276" s="94" t="s">
        <v>9</v>
      </c>
      <c r="E276" s="95" t="s">
        <v>22</v>
      </c>
      <c r="F276" s="98" t="s">
        <v>1380</v>
      </c>
    </row>
    <row r="277" spans="1:6" ht="28" x14ac:dyDescent="0.3">
      <c r="A277" s="94"/>
      <c r="B277" s="94"/>
      <c r="C277" s="94" t="s">
        <v>1381</v>
      </c>
      <c r="D277" s="94" t="s">
        <v>775</v>
      </c>
      <c r="E277" s="95" t="s">
        <v>21</v>
      </c>
      <c r="F277" s="98" t="s">
        <v>1389</v>
      </c>
    </row>
    <row r="278" spans="1:6" ht="28" x14ac:dyDescent="0.3">
      <c r="A278" s="94"/>
      <c r="B278" s="94"/>
      <c r="C278" s="94" t="s">
        <v>1383</v>
      </c>
      <c r="D278" s="94" t="s">
        <v>51</v>
      </c>
      <c r="E278" s="95" t="s">
        <v>22</v>
      </c>
      <c r="F278" s="98" t="s">
        <v>1390</v>
      </c>
    </row>
    <row r="279" spans="1:6" ht="56" x14ac:dyDescent="0.3">
      <c r="A279" s="94"/>
      <c r="B279" s="94"/>
      <c r="C279" s="94" t="s">
        <v>1385</v>
      </c>
      <c r="D279" s="94" t="s">
        <v>194</v>
      </c>
      <c r="E279" s="95" t="s">
        <v>21</v>
      </c>
      <c r="F279" s="98" t="s">
        <v>1391</v>
      </c>
    </row>
    <row r="280" spans="1:6" ht="112" x14ac:dyDescent="0.3">
      <c r="A280" s="99" t="s">
        <v>1526</v>
      </c>
      <c r="B280" s="99" t="s">
        <v>1527</v>
      </c>
      <c r="C280" s="99" t="s">
        <v>1379</v>
      </c>
      <c r="D280" s="99" t="s">
        <v>9</v>
      </c>
      <c r="E280" s="100" t="s">
        <v>22</v>
      </c>
      <c r="F280" s="101" t="s">
        <v>1380</v>
      </c>
    </row>
    <row r="281" spans="1:6" ht="28" x14ac:dyDescent="0.3">
      <c r="A281" s="99"/>
      <c r="B281" s="99"/>
      <c r="C281" s="99" t="s">
        <v>1381</v>
      </c>
      <c r="D281" s="99" t="s">
        <v>775</v>
      </c>
      <c r="E281" s="100" t="s">
        <v>21</v>
      </c>
      <c r="F281" s="101" t="s">
        <v>1389</v>
      </c>
    </row>
    <row r="282" spans="1:6" ht="28" x14ac:dyDescent="0.3">
      <c r="A282" s="99"/>
      <c r="B282" s="99"/>
      <c r="C282" s="99" t="s">
        <v>1383</v>
      </c>
      <c r="D282" s="99" t="s">
        <v>51</v>
      </c>
      <c r="E282" s="100" t="s">
        <v>22</v>
      </c>
      <c r="F282" s="101" t="s">
        <v>1390</v>
      </c>
    </row>
    <row r="283" spans="1:6" ht="56" x14ac:dyDescent="0.3">
      <c r="A283" s="99"/>
      <c r="B283" s="99"/>
      <c r="C283" s="99" t="s">
        <v>1385</v>
      </c>
      <c r="D283" s="99" t="s">
        <v>194</v>
      </c>
      <c r="E283" s="100" t="s">
        <v>21</v>
      </c>
      <c r="F283" s="101" t="s">
        <v>1391</v>
      </c>
    </row>
    <row r="284" spans="1:6" ht="112" x14ac:dyDescent="0.3">
      <c r="A284" s="94" t="s">
        <v>1528</v>
      </c>
      <c r="B284" s="94" t="s">
        <v>1529</v>
      </c>
      <c r="C284" s="94" t="s">
        <v>1379</v>
      </c>
      <c r="D284" s="94" t="s">
        <v>9</v>
      </c>
      <c r="E284" s="95" t="s">
        <v>22</v>
      </c>
      <c r="F284" s="98" t="s">
        <v>1380</v>
      </c>
    </row>
    <row r="285" spans="1:6" ht="28" x14ac:dyDescent="0.3">
      <c r="A285" s="94"/>
      <c r="B285" s="94"/>
      <c r="C285" s="94" t="s">
        <v>1381</v>
      </c>
      <c r="D285" s="94" t="s">
        <v>775</v>
      </c>
      <c r="E285" s="95" t="s">
        <v>21</v>
      </c>
      <c r="F285" s="98" t="s">
        <v>1389</v>
      </c>
    </row>
    <row r="286" spans="1:6" ht="28" x14ac:dyDescent="0.3">
      <c r="A286" s="94"/>
      <c r="B286" s="94"/>
      <c r="C286" s="94" t="s">
        <v>1383</v>
      </c>
      <c r="D286" s="94" t="s">
        <v>51</v>
      </c>
      <c r="E286" s="95" t="s">
        <v>22</v>
      </c>
      <c r="F286" s="98" t="s">
        <v>1390</v>
      </c>
    </row>
    <row r="287" spans="1:6" ht="56" x14ac:dyDescent="0.3">
      <c r="A287" s="94"/>
      <c r="B287" s="94"/>
      <c r="C287" s="94" t="s">
        <v>1385</v>
      </c>
      <c r="D287" s="94" t="s">
        <v>194</v>
      </c>
      <c r="E287" s="95" t="s">
        <v>21</v>
      </c>
      <c r="F287" s="98" t="s">
        <v>1391</v>
      </c>
    </row>
    <row r="288" spans="1:6" ht="112" x14ac:dyDescent="0.3">
      <c r="A288" s="99" t="s">
        <v>1530</v>
      </c>
      <c r="B288" s="99" t="s">
        <v>1531</v>
      </c>
      <c r="C288" s="99" t="s">
        <v>1379</v>
      </c>
      <c r="D288" s="99" t="s">
        <v>9</v>
      </c>
      <c r="E288" s="100" t="s">
        <v>22</v>
      </c>
      <c r="F288" s="101" t="s">
        <v>1380</v>
      </c>
    </row>
    <row r="289" spans="1:6" ht="28" x14ac:dyDescent="0.3">
      <c r="A289" s="99"/>
      <c r="B289" s="99"/>
      <c r="C289" s="99" t="s">
        <v>1381</v>
      </c>
      <c r="D289" s="99" t="s">
        <v>775</v>
      </c>
      <c r="E289" s="100" t="s">
        <v>21</v>
      </c>
      <c r="F289" s="101" t="s">
        <v>1389</v>
      </c>
    </row>
    <row r="290" spans="1:6" ht="28" x14ac:dyDescent="0.3">
      <c r="A290" s="99"/>
      <c r="B290" s="99"/>
      <c r="C290" s="99" t="s">
        <v>1383</v>
      </c>
      <c r="D290" s="99" t="s">
        <v>51</v>
      </c>
      <c r="E290" s="100" t="s">
        <v>22</v>
      </c>
      <c r="F290" s="101" t="s">
        <v>1390</v>
      </c>
    </row>
    <row r="291" spans="1:6" ht="56" x14ac:dyDescent="0.3">
      <c r="A291" s="99"/>
      <c r="B291" s="99"/>
      <c r="C291" s="99" t="s">
        <v>1385</v>
      </c>
      <c r="D291" s="99" t="s">
        <v>194</v>
      </c>
      <c r="E291" s="100" t="s">
        <v>21</v>
      </c>
      <c r="F291" s="101" t="s">
        <v>1391</v>
      </c>
    </row>
    <row r="292" spans="1:6" ht="112" x14ac:dyDescent="0.3">
      <c r="A292" s="94" t="s">
        <v>1532</v>
      </c>
      <c r="B292" s="94" t="s">
        <v>1533</v>
      </c>
      <c r="C292" s="94" t="s">
        <v>1379</v>
      </c>
      <c r="D292" s="94" t="s">
        <v>9</v>
      </c>
      <c r="E292" s="95" t="s">
        <v>22</v>
      </c>
      <c r="F292" s="98" t="s">
        <v>1380</v>
      </c>
    </row>
    <row r="293" spans="1:6" ht="28" x14ac:dyDescent="0.3">
      <c r="A293" s="94"/>
      <c r="B293" s="94"/>
      <c r="C293" s="94" t="s">
        <v>1381</v>
      </c>
      <c r="D293" s="94" t="s">
        <v>775</v>
      </c>
      <c r="E293" s="95" t="s">
        <v>21</v>
      </c>
      <c r="F293" s="98" t="s">
        <v>1389</v>
      </c>
    </row>
    <row r="294" spans="1:6" ht="28" x14ac:dyDescent="0.3">
      <c r="A294" s="94"/>
      <c r="B294" s="94"/>
      <c r="C294" s="94" t="s">
        <v>1383</v>
      </c>
      <c r="D294" s="94" t="s">
        <v>51</v>
      </c>
      <c r="E294" s="95" t="s">
        <v>22</v>
      </c>
      <c r="F294" s="98" t="s">
        <v>1390</v>
      </c>
    </row>
    <row r="295" spans="1:6" ht="56" x14ac:dyDescent="0.3">
      <c r="A295" s="94"/>
      <c r="B295" s="94"/>
      <c r="C295" s="94" t="s">
        <v>1385</v>
      </c>
      <c r="D295" s="94" t="s">
        <v>194</v>
      </c>
      <c r="E295" s="95" t="s">
        <v>21</v>
      </c>
      <c r="F295" s="98" t="s">
        <v>1391</v>
      </c>
    </row>
    <row r="296" spans="1:6" ht="112" x14ac:dyDescent="0.3">
      <c r="A296" s="99" t="s">
        <v>1534</v>
      </c>
      <c r="B296" s="99" t="s">
        <v>1535</v>
      </c>
      <c r="C296" s="99" t="s">
        <v>1379</v>
      </c>
      <c r="D296" s="99" t="s">
        <v>9</v>
      </c>
      <c r="E296" s="100" t="s">
        <v>22</v>
      </c>
      <c r="F296" s="101" t="s">
        <v>1380</v>
      </c>
    </row>
    <row r="297" spans="1:6" ht="28" x14ac:dyDescent="0.3">
      <c r="A297" s="99"/>
      <c r="B297" s="99"/>
      <c r="C297" s="99" t="s">
        <v>1381</v>
      </c>
      <c r="D297" s="99" t="s">
        <v>775</v>
      </c>
      <c r="E297" s="100" t="s">
        <v>21</v>
      </c>
      <c r="F297" s="101" t="s">
        <v>1389</v>
      </c>
    </row>
    <row r="298" spans="1:6" ht="28" x14ac:dyDescent="0.3">
      <c r="A298" s="99"/>
      <c r="B298" s="99"/>
      <c r="C298" s="99" t="s">
        <v>1383</v>
      </c>
      <c r="D298" s="99" t="s">
        <v>51</v>
      </c>
      <c r="E298" s="100" t="s">
        <v>22</v>
      </c>
      <c r="F298" s="101" t="s">
        <v>1390</v>
      </c>
    </row>
    <row r="299" spans="1:6" ht="56" x14ac:dyDescent="0.3">
      <c r="A299" s="99"/>
      <c r="B299" s="99"/>
      <c r="C299" s="99" t="s">
        <v>1385</v>
      </c>
      <c r="D299" s="99" t="s">
        <v>194</v>
      </c>
      <c r="E299" s="100" t="s">
        <v>21</v>
      </c>
      <c r="F299" s="101" t="s">
        <v>1391</v>
      </c>
    </row>
    <row r="300" spans="1:6" ht="112" x14ac:dyDescent="0.3">
      <c r="A300" s="94" t="s">
        <v>1536</v>
      </c>
      <c r="B300" s="94" t="s">
        <v>1537</v>
      </c>
      <c r="C300" s="94" t="s">
        <v>1379</v>
      </c>
      <c r="D300" s="94" t="s">
        <v>9</v>
      </c>
      <c r="E300" s="95" t="s">
        <v>22</v>
      </c>
      <c r="F300" s="98" t="s">
        <v>1380</v>
      </c>
    </row>
    <row r="301" spans="1:6" ht="28" x14ac:dyDescent="0.3">
      <c r="A301" s="94"/>
      <c r="B301" s="94"/>
      <c r="C301" s="94" t="s">
        <v>1381</v>
      </c>
      <c r="D301" s="94" t="s">
        <v>775</v>
      </c>
      <c r="E301" s="95" t="s">
        <v>21</v>
      </c>
      <c r="F301" s="98" t="s">
        <v>1389</v>
      </c>
    </row>
    <row r="302" spans="1:6" ht="28" x14ac:dyDescent="0.3">
      <c r="A302" s="94"/>
      <c r="B302" s="94"/>
      <c r="C302" s="94" t="s">
        <v>1383</v>
      </c>
      <c r="D302" s="94" t="s">
        <v>51</v>
      </c>
      <c r="E302" s="95" t="s">
        <v>22</v>
      </c>
      <c r="F302" s="98" t="s">
        <v>1390</v>
      </c>
    </row>
    <row r="303" spans="1:6" ht="56" x14ac:dyDescent="0.3">
      <c r="A303" s="94"/>
      <c r="B303" s="94"/>
      <c r="C303" s="94" t="s">
        <v>1385</v>
      </c>
      <c r="D303" s="94" t="s">
        <v>194</v>
      </c>
      <c r="E303" s="95" t="s">
        <v>21</v>
      </c>
      <c r="F303" s="98" t="s">
        <v>1391</v>
      </c>
    </row>
    <row r="304" spans="1:6" ht="112" x14ac:dyDescent="0.3">
      <c r="A304" s="99" t="s">
        <v>1538</v>
      </c>
      <c r="B304" s="99" t="s">
        <v>1539</v>
      </c>
      <c r="C304" s="99" t="s">
        <v>1379</v>
      </c>
      <c r="D304" s="99" t="s">
        <v>9</v>
      </c>
      <c r="E304" s="100" t="s">
        <v>22</v>
      </c>
      <c r="F304" s="101" t="s">
        <v>1380</v>
      </c>
    </row>
    <row r="305" spans="1:6" ht="28" x14ac:dyDescent="0.3">
      <c r="A305" s="99"/>
      <c r="B305" s="99"/>
      <c r="C305" s="99" t="s">
        <v>1381</v>
      </c>
      <c r="D305" s="99" t="s">
        <v>775</v>
      </c>
      <c r="E305" s="100" t="s">
        <v>21</v>
      </c>
      <c r="F305" s="101" t="s">
        <v>1389</v>
      </c>
    </row>
    <row r="306" spans="1:6" ht="28" x14ac:dyDescent="0.3">
      <c r="A306" s="99"/>
      <c r="B306" s="99"/>
      <c r="C306" s="99" t="s">
        <v>1383</v>
      </c>
      <c r="D306" s="99" t="s">
        <v>51</v>
      </c>
      <c r="E306" s="100" t="s">
        <v>22</v>
      </c>
      <c r="F306" s="101" t="s">
        <v>1390</v>
      </c>
    </row>
    <row r="307" spans="1:6" ht="56" x14ac:dyDescent="0.3">
      <c r="A307" s="99"/>
      <c r="B307" s="99"/>
      <c r="C307" s="99" t="s">
        <v>1385</v>
      </c>
      <c r="D307" s="99" t="s">
        <v>194</v>
      </c>
      <c r="E307" s="100" t="s">
        <v>21</v>
      </c>
      <c r="F307" s="101" t="s">
        <v>1391</v>
      </c>
    </row>
    <row r="308" spans="1:6" ht="112" x14ac:dyDescent="0.3">
      <c r="A308" s="94" t="s">
        <v>1540</v>
      </c>
      <c r="B308" s="94" t="s">
        <v>1541</v>
      </c>
      <c r="C308" s="94" t="s">
        <v>1379</v>
      </c>
      <c r="D308" s="94" t="s">
        <v>9</v>
      </c>
      <c r="E308" s="95" t="s">
        <v>22</v>
      </c>
      <c r="F308" s="98" t="s">
        <v>1380</v>
      </c>
    </row>
    <row r="309" spans="1:6" ht="28" x14ac:dyDescent="0.3">
      <c r="A309" s="94"/>
      <c r="B309" s="94"/>
      <c r="C309" s="94" t="s">
        <v>1381</v>
      </c>
      <c r="D309" s="94" t="s">
        <v>775</v>
      </c>
      <c r="E309" s="95" t="s">
        <v>21</v>
      </c>
      <c r="F309" s="98" t="s">
        <v>1389</v>
      </c>
    </row>
    <row r="310" spans="1:6" ht="28" x14ac:dyDescent="0.3">
      <c r="A310" s="94"/>
      <c r="B310" s="94"/>
      <c r="C310" s="94" t="s">
        <v>1383</v>
      </c>
      <c r="D310" s="94" t="s">
        <v>51</v>
      </c>
      <c r="E310" s="95" t="s">
        <v>22</v>
      </c>
      <c r="F310" s="98" t="s">
        <v>1390</v>
      </c>
    </row>
    <row r="311" spans="1:6" ht="56" x14ac:dyDescent="0.3">
      <c r="A311" s="94"/>
      <c r="B311" s="94"/>
      <c r="C311" s="94" t="s">
        <v>1385</v>
      </c>
      <c r="D311" s="94" t="s">
        <v>194</v>
      </c>
      <c r="E311" s="95" t="s">
        <v>21</v>
      </c>
      <c r="F311" s="98" t="s">
        <v>1391</v>
      </c>
    </row>
    <row r="312" spans="1:6" ht="112" x14ac:dyDescent="0.3">
      <c r="A312" s="99" t="s">
        <v>1542</v>
      </c>
      <c r="B312" s="99" t="s">
        <v>1543</v>
      </c>
      <c r="C312" s="99" t="s">
        <v>1379</v>
      </c>
      <c r="D312" s="99" t="s">
        <v>9</v>
      </c>
      <c r="E312" s="100" t="s">
        <v>22</v>
      </c>
      <c r="F312" s="101" t="s">
        <v>1380</v>
      </c>
    </row>
    <row r="313" spans="1:6" ht="28" x14ac:dyDescent="0.3">
      <c r="A313" s="99"/>
      <c r="B313" s="99"/>
      <c r="C313" s="99" t="s">
        <v>1381</v>
      </c>
      <c r="D313" s="99" t="s">
        <v>775</v>
      </c>
      <c r="E313" s="100" t="s">
        <v>21</v>
      </c>
      <c r="F313" s="101" t="s">
        <v>1389</v>
      </c>
    </row>
    <row r="314" spans="1:6" ht="28" x14ac:dyDescent="0.3">
      <c r="A314" s="99"/>
      <c r="B314" s="99"/>
      <c r="C314" s="99" t="s">
        <v>1383</v>
      </c>
      <c r="D314" s="99" t="s">
        <v>51</v>
      </c>
      <c r="E314" s="100" t="s">
        <v>22</v>
      </c>
      <c r="F314" s="101" t="s">
        <v>1390</v>
      </c>
    </row>
    <row r="315" spans="1:6" ht="56" x14ac:dyDescent="0.3">
      <c r="A315" s="99"/>
      <c r="B315" s="99"/>
      <c r="C315" s="99" t="s">
        <v>1385</v>
      </c>
      <c r="D315" s="99" t="s">
        <v>194</v>
      </c>
      <c r="E315" s="100" t="s">
        <v>21</v>
      </c>
      <c r="F315" s="101" t="s">
        <v>1391</v>
      </c>
    </row>
    <row r="316" spans="1:6" ht="112" x14ac:dyDescent="0.3">
      <c r="A316" s="94" t="s">
        <v>1544</v>
      </c>
      <c r="B316" s="94" t="s">
        <v>1545</v>
      </c>
      <c r="C316" s="94" t="s">
        <v>1379</v>
      </c>
      <c r="D316" s="94" t="s">
        <v>9</v>
      </c>
      <c r="E316" s="95" t="s">
        <v>22</v>
      </c>
      <c r="F316" s="98" t="s">
        <v>1380</v>
      </c>
    </row>
    <row r="317" spans="1:6" ht="28" x14ac:dyDescent="0.3">
      <c r="A317" s="94"/>
      <c r="B317" s="94"/>
      <c r="C317" s="94" t="s">
        <v>1381</v>
      </c>
      <c r="D317" s="94" t="s">
        <v>775</v>
      </c>
      <c r="E317" s="95" t="s">
        <v>21</v>
      </c>
      <c r="F317" s="98" t="s">
        <v>1389</v>
      </c>
    </row>
    <row r="318" spans="1:6" ht="28" x14ac:dyDescent="0.3">
      <c r="A318" s="94"/>
      <c r="B318" s="94"/>
      <c r="C318" s="94" t="s">
        <v>1383</v>
      </c>
      <c r="D318" s="94" t="s">
        <v>51</v>
      </c>
      <c r="E318" s="95" t="s">
        <v>22</v>
      </c>
      <c r="F318" s="98" t="s">
        <v>1390</v>
      </c>
    </row>
    <row r="319" spans="1:6" ht="56" x14ac:dyDescent="0.3">
      <c r="A319" s="94"/>
      <c r="B319" s="94"/>
      <c r="C319" s="94" t="s">
        <v>1385</v>
      </c>
      <c r="D319" s="94" t="s">
        <v>194</v>
      </c>
      <c r="E319" s="95" t="s">
        <v>21</v>
      </c>
      <c r="F319" s="98" t="s">
        <v>1391</v>
      </c>
    </row>
    <row r="320" spans="1:6" ht="112" x14ac:dyDescent="0.3">
      <c r="A320" s="99" t="s">
        <v>1546</v>
      </c>
      <c r="B320" s="99" t="s">
        <v>1547</v>
      </c>
      <c r="C320" s="99" t="s">
        <v>1379</v>
      </c>
      <c r="D320" s="99" t="s">
        <v>9</v>
      </c>
      <c r="E320" s="100" t="s">
        <v>22</v>
      </c>
      <c r="F320" s="101" t="s">
        <v>1380</v>
      </c>
    </row>
    <row r="321" spans="1:6" ht="28" x14ac:dyDescent="0.3">
      <c r="A321" s="99"/>
      <c r="B321" s="99"/>
      <c r="C321" s="99" t="s">
        <v>1381</v>
      </c>
      <c r="D321" s="99" t="s">
        <v>775</v>
      </c>
      <c r="E321" s="100" t="s">
        <v>21</v>
      </c>
      <c r="F321" s="101" t="s">
        <v>1389</v>
      </c>
    </row>
    <row r="322" spans="1:6" ht="28" x14ac:dyDescent="0.3">
      <c r="A322" s="99"/>
      <c r="B322" s="99"/>
      <c r="C322" s="99" t="s">
        <v>1383</v>
      </c>
      <c r="D322" s="99" t="s">
        <v>51</v>
      </c>
      <c r="E322" s="100" t="s">
        <v>22</v>
      </c>
      <c r="F322" s="101" t="s">
        <v>1390</v>
      </c>
    </row>
    <row r="323" spans="1:6" ht="56" x14ac:dyDescent="0.3">
      <c r="A323" s="99"/>
      <c r="B323" s="99"/>
      <c r="C323" s="99" t="s">
        <v>1385</v>
      </c>
      <c r="D323" s="99" t="s">
        <v>194</v>
      </c>
      <c r="E323" s="100" t="s">
        <v>21</v>
      </c>
      <c r="F323" s="101" t="s">
        <v>1391</v>
      </c>
    </row>
    <row r="324" spans="1:6" ht="112" x14ac:dyDescent="0.3">
      <c r="A324" s="94" t="s">
        <v>1548</v>
      </c>
      <c r="B324" s="94" t="s">
        <v>1549</v>
      </c>
      <c r="C324" s="94" t="s">
        <v>1379</v>
      </c>
      <c r="D324" s="94" t="s">
        <v>9</v>
      </c>
      <c r="E324" s="95" t="s">
        <v>22</v>
      </c>
      <c r="F324" s="98" t="s">
        <v>1380</v>
      </c>
    </row>
    <row r="325" spans="1:6" ht="28" x14ac:dyDescent="0.3">
      <c r="A325" s="94"/>
      <c r="B325" s="94"/>
      <c r="C325" s="94" t="s">
        <v>1381</v>
      </c>
      <c r="D325" s="94" t="s">
        <v>775</v>
      </c>
      <c r="E325" s="95" t="s">
        <v>21</v>
      </c>
      <c r="F325" s="98" t="s">
        <v>1389</v>
      </c>
    </row>
    <row r="326" spans="1:6" ht="28" x14ac:dyDescent="0.3">
      <c r="A326" s="94"/>
      <c r="B326" s="94"/>
      <c r="C326" s="94" t="s">
        <v>1383</v>
      </c>
      <c r="D326" s="94" t="s">
        <v>51</v>
      </c>
      <c r="E326" s="95" t="s">
        <v>22</v>
      </c>
      <c r="F326" s="98" t="s">
        <v>1390</v>
      </c>
    </row>
    <row r="327" spans="1:6" ht="56" x14ac:dyDescent="0.3">
      <c r="A327" s="94"/>
      <c r="B327" s="94"/>
      <c r="C327" s="94" t="s">
        <v>1385</v>
      </c>
      <c r="D327" s="94" t="s">
        <v>194</v>
      </c>
      <c r="E327" s="95" t="s">
        <v>21</v>
      </c>
      <c r="F327" s="98" t="s">
        <v>1391</v>
      </c>
    </row>
    <row r="328" spans="1:6" ht="112" x14ac:dyDescent="0.3">
      <c r="A328" s="99" t="s">
        <v>1550</v>
      </c>
      <c r="B328" s="99" t="s">
        <v>1551</v>
      </c>
      <c r="C328" s="99" t="s">
        <v>1379</v>
      </c>
      <c r="D328" s="99" t="s">
        <v>9</v>
      </c>
      <c r="E328" s="100" t="s">
        <v>22</v>
      </c>
      <c r="F328" s="101" t="s">
        <v>1380</v>
      </c>
    </row>
    <row r="329" spans="1:6" ht="28" x14ac:dyDescent="0.3">
      <c r="A329" s="99"/>
      <c r="B329" s="99"/>
      <c r="C329" s="99" t="s">
        <v>1381</v>
      </c>
      <c r="D329" s="99" t="s">
        <v>775</v>
      </c>
      <c r="E329" s="100" t="s">
        <v>21</v>
      </c>
      <c r="F329" s="101" t="s">
        <v>1389</v>
      </c>
    </row>
    <row r="330" spans="1:6" ht="28" x14ac:dyDescent="0.3">
      <c r="A330" s="99"/>
      <c r="B330" s="99"/>
      <c r="C330" s="99" t="s">
        <v>1383</v>
      </c>
      <c r="D330" s="99" t="s">
        <v>51</v>
      </c>
      <c r="E330" s="100" t="s">
        <v>21</v>
      </c>
      <c r="F330" s="101" t="s">
        <v>1390</v>
      </c>
    </row>
    <row r="331" spans="1:6" ht="56" x14ac:dyDescent="0.3">
      <c r="A331" s="99"/>
      <c r="B331" s="99"/>
      <c r="C331" s="99" t="s">
        <v>1385</v>
      </c>
      <c r="D331" s="99" t="s">
        <v>194</v>
      </c>
      <c r="E331" s="100" t="s">
        <v>26</v>
      </c>
      <c r="F331" s="101" t="s">
        <v>1391</v>
      </c>
    </row>
    <row r="332" spans="1:6" ht="112" x14ac:dyDescent="0.3">
      <c r="A332" s="94" t="s">
        <v>1552</v>
      </c>
      <c r="B332" s="94" t="s">
        <v>1553</v>
      </c>
      <c r="C332" s="94" t="s">
        <v>1379</v>
      </c>
      <c r="D332" s="94" t="s">
        <v>9</v>
      </c>
      <c r="E332" s="95" t="s">
        <v>22</v>
      </c>
      <c r="F332" s="98" t="s">
        <v>1380</v>
      </c>
    </row>
    <row r="333" spans="1:6" ht="28" x14ac:dyDescent="0.3">
      <c r="A333" s="94"/>
      <c r="B333" s="94"/>
      <c r="C333" s="94" t="s">
        <v>1381</v>
      </c>
      <c r="D333" s="94" t="s">
        <v>775</v>
      </c>
      <c r="E333" s="95" t="s">
        <v>21</v>
      </c>
      <c r="F333" s="98" t="s">
        <v>1389</v>
      </c>
    </row>
    <row r="334" spans="1:6" ht="28" x14ac:dyDescent="0.3">
      <c r="A334" s="94"/>
      <c r="B334" s="94"/>
      <c r="C334" s="94" t="s">
        <v>1383</v>
      </c>
      <c r="D334" s="94" t="s">
        <v>51</v>
      </c>
      <c r="E334" s="95" t="s">
        <v>21</v>
      </c>
      <c r="F334" s="98" t="s">
        <v>1390</v>
      </c>
    </row>
    <row r="335" spans="1:6" ht="56" x14ac:dyDescent="0.3">
      <c r="A335" s="94"/>
      <c r="B335" s="94"/>
      <c r="C335" s="94" t="s">
        <v>1385</v>
      </c>
      <c r="D335" s="94" t="s">
        <v>194</v>
      </c>
      <c r="E335" s="95" t="s">
        <v>26</v>
      </c>
      <c r="F335" s="98" t="s">
        <v>1391</v>
      </c>
    </row>
    <row r="336" spans="1:6" ht="112" x14ac:dyDescent="0.3">
      <c r="A336" s="99" t="s">
        <v>1554</v>
      </c>
      <c r="B336" s="99" t="s">
        <v>1555</v>
      </c>
      <c r="C336" s="99" t="s">
        <v>1379</v>
      </c>
      <c r="D336" s="99" t="s">
        <v>9</v>
      </c>
      <c r="E336" s="100" t="s">
        <v>22</v>
      </c>
      <c r="F336" s="101" t="s">
        <v>1380</v>
      </c>
    </row>
    <row r="337" spans="1:6" ht="28" x14ac:dyDescent="0.3">
      <c r="A337" s="99"/>
      <c r="B337" s="99"/>
      <c r="C337" s="99" t="s">
        <v>1381</v>
      </c>
      <c r="D337" s="99" t="s">
        <v>775</v>
      </c>
      <c r="E337" s="100" t="s">
        <v>21</v>
      </c>
      <c r="F337" s="101" t="s">
        <v>1389</v>
      </c>
    </row>
    <row r="338" spans="1:6" ht="28" x14ac:dyDescent="0.3">
      <c r="A338" s="99"/>
      <c r="B338" s="99"/>
      <c r="C338" s="99" t="s">
        <v>1383</v>
      </c>
      <c r="D338" s="99" t="s">
        <v>51</v>
      </c>
      <c r="E338" s="100" t="s">
        <v>22</v>
      </c>
      <c r="F338" s="101" t="s">
        <v>1390</v>
      </c>
    </row>
    <row r="339" spans="1:6" ht="56" x14ac:dyDescent="0.3">
      <c r="A339" s="99"/>
      <c r="B339" s="99"/>
      <c r="C339" s="99" t="s">
        <v>1385</v>
      </c>
      <c r="D339" s="99" t="s">
        <v>194</v>
      </c>
      <c r="E339" s="100" t="s">
        <v>21</v>
      </c>
      <c r="F339" s="101" t="s">
        <v>1391</v>
      </c>
    </row>
    <row r="340" spans="1:6" ht="112" x14ac:dyDescent="0.3">
      <c r="A340" s="94" t="s">
        <v>1556</v>
      </c>
      <c r="B340" s="94" t="s">
        <v>1557</v>
      </c>
      <c r="C340" s="94" t="s">
        <v>1379</v>
      </c>
      <c r="D340" s="94" t="s">
        <v>9</v>
      </c>
      <c r="E340" s="95" t="s">
        <v>22</v>
      </c>
      <c r="F340" s="98" t="s">
        <v>1380</v>
      </c>
    </row>
    <row r="341" spans="1:6" ht="28" x14ac:dyDescent="0.3">
      <c r="A341" s="94"/>
      <c r="B341" s="94"/>
      <c r="C341" s="94" t="s">
        <v>1381</v>
      </c>
      <c r="D341" s="94" t="s">
        <v>775</v>
      </c>
      <c r="E341" s="95" t="s">
        <v>21</v>
      </c>
      <c r="F341" s="98" t="s">
        <v>1389</v>
      </c>
    </row>
    <row r="342" spans="1:6" ht="28" x14ac:dyDescent="0.3">
      <c r="A342" s="94"/>
      <c r="B342" s="94"/>
      <c r="C342" s="94" t="s">
        <v>1383</v>
      </c>
      <c r="D342" s="94" t="s">
        <v>51</v>
      </c>
      <c r="E342" s="95" t="s">
        <v>21</v>
      </c>
      <c r="F342" s="98" t="s">
        <v>1390</v>
      </c>
    </row>
    <row r="343" spans="1:6" ht="56" x14ac:dyDescent="0.3">
      <c r="A343" s="94"/>
      <c r="B343" s="94"/>
      <c r="C343" s="94" t="s">
        <v>1385</v>
      </c>
      <c r="D343" s="94" t="s">
        <v>194</v>
      </c>
      <c r="E343" s="95" t="s">
        <v>26</v>
      </c>
      <c r="F343" s="98" t="s">
        <v>1391</v>
      </c>
    </row>
    <row r="344" spans="1:6" ht="112" x14ac:dyDescent="0.3">
      <c r="A344" s="99" t="s">
        <v>1558</v>
      </c>
      <c r="B344" s="99" t="s">
        <v>1559</v>
      </c>
      <c r="C344" s="99" t="s">
        <v>1379</v>
      </c>
      <c r="D344" s="99" t="s">
        <v>9</v>
      </c>
      <c r="E344" s="100" t="s">
        <v>22</v>
      </c>
      <c r="F344" s="101" t="s">
        <v>1380</v>
      </c>
    </row>
    <row r="345" spans="1:6" ht="28" x14ac:dyDescent="0.3">
      <c r="A345" s="99"/>
      <c r="B345" s="99"/>
      <c r="C345" s="99" t="s">
        <v>1381</v>
      </c>
      <c r="D345" s="99" t="s">
        <v>775</v>
      </c>
      <c r="E345" s="100" t="s">
        <v>21</v>
      </c>
      <c r="F345" s="101" t="s">
        <v>1389</v>
      </c>
    </row>
    <row r="346" spans="1:6" ht="28" x14ac:dyDescent="0.3">
      <c r="A346" s="99"/>
      <c r="B346" s="99"/>
      <c r="C346" s="99" t="s">
        <v>1383</v>
      </c>
      <c r="D346" s="99" t="s">
        <v>51</v>
      </c>
      <c r="E346" s="100" t="s">
        <v>22</v>
      </c>
      <c r="F346" s="101" t="s">
        <v>1390</v>
      </c>
    </row>
    <row r="347" spans="1:6" ht="56" x14ac:dyDescent="0.3">
      <c r="A347" s="99"/>
      <c r="B347" s="99"/>
      <c r="C347" s="99" t="s">
        <v>1385</v>
      </c>
      <c r="D347" s="99" t="s">
        <v>194</v>
      </c>
      <c r="E347" s="100" t="s">
        <v>21</v>
      </c>
      <c r="F347" s="101" t="s">
        <v>1391</v>
      </c>
    </row>
    <row r="348" spans="1:6" ht="112" x14ac:dyDescent="0.3">
      <c r="A348" s="94" t="s">
        <v>1560</v>
      </c>
      <c r="B348" s="94" t="s">
        <v>1561</v>
      </c>
      <c r="C348" s="94" t="s">
        <v>1379</v>
      </c>
      <c r="D348" s="94" t="s">
        <v>9</v>
      </c>
      <c r="E348" s="95" t="s">
        <v>22</v>
      </c>
      <c r="F348" s="98" t="s">
        <v>1380</v>
      </c>
    </row>
    <row r="349" spans="1:6" ht="28" x14ac:dyDescent="0.3">
      <c r="A349" s="94"/>
      <c r="B349" s="94"/>
      <c r="C349" s="94" t="s">
        <v>1381</v>
      </c>
      <c r="D349" s="94" t="s">
        <v>775</v>
      </c>
      <c r="E349" s="95" t="s">
        <v>21</v>
      </c>
      <c r="F349" s="98" t="s">
        <v>1389</v>
      </c>
    </row>
    <row r="350" spans="1:6" ht="28" x14ac:dyDescent="0.3">
      <c r="A350" s="94"/>
      <c r="B350" s="94"/>
      <c r="C350" s="94" t="s">
        <v>1383</v>
      </c>
      <c r="D350" s="94" t="s">
        <v>51</v>
      </c>
      <c r="E350" s="95" t="s">
        <v>21</v>
      </c>
      <c r="F350" s="98" t="s">
        <v>1390</v>
      </c>
    </row>
    <row r="351" spans="1:6" ht="56" x14ac:dyDescent="0.3">
      <c r="A351" s="94"/>
      <c r="B351" s="94"/>
      <c r="C351" s="94" t="s">
        <v>1385</v>
      </c>
      <c r="D351" s="94" t="s">
        <v>194</v>
      </c>
      <c r="E351" s="95" t="s">
        <v>26</v>
      </c>
      <c r="F351" s="98" t="s">
        <v>1391</v>
      </c>
    </row>
    <row r="352" spans="1:6" ht="112" x14ac:dyDescent="0.3">
      <c r="A352" s="99" t="s">
        <v>1562</v>
      </c>
      <c r="B352" s="99" t="s">
        <v>1563</v>
      </c>
      <c r="C352" s="99" t="s">
        <v>1379</v>
      </c>
      <c r="D352" s="99" t="s">
        <v>9</v>
      </c>
      <c r="E352" s="100" t="s">
        <v>22</v>
      </c>
      <c r="F352" s="101" t="s">
        <v>1380</v>
      </c>
    </row>
    <row r="353" spans="1:6" ht="28" x14ac:dyDescent="0.3">
      <c r="A353" s="99"/>
      <c r="B353" s="99"/>
      <c r="C353" s="99" t="s">
        <v>1381</v>
      </c>
      <c r="D353" s="99" t="s">
        <v>775</v>
      </c>
      <c r="E353" s="100" t="s">
        <v>21</v>
      </c>
      <c r="F353" s="101" t="s">
        <v>1389</v>
      </c>
    </row>
    <row r="354" spans="1:6" ht="28" x14ac:dyDescent="0.3">
      <c r="A354" s="99"/>
      <c r="B354" s="99"/>
      <c r="C354" s="99" t="s">
        <v>1383</v>
      </c>
      <c r="D354" s="99" t="s">
        <v>51</v>
      </c>
      <c r="E354" s="100" t="s">
        <v>22</v>
      </c>
      <c r="F354" s="101" t="s">
        <v>1390</v>
      </c>
    </row>
    <row r="355" spans="1:6" ht="56" x14ac:dyDescent="0.3">
      <c r="A355" s="99"/>
      <c r="B355" s="99"/>
      <c r="C355" s="99" t="s">
        <v>1385</v>
      </c>
      <c r="D355" s="99" t="s">
        <v>194</v>
      </c>
      <c r="E355" s="100" t="s">
        <v>21</v>
      </c>
      <c r="F355" s="101" t="s">
        <v>1391</v>
      </c>
    </row>
    <row r="356" spans="1:6" ht="112" x14ac:dyDescent="0.3">
      <c r="A356" s="94" t="s">
        <v>1564</v>
      </c>
      <c r="B356" s="94" t="s">
        <v>1565</v>
      </c>
      <c r="C356" s="94" t="s">
        <v>1379</v>
      </c>
      <c r="D356" s="94" t="s">
        <v>9</v>
      </c>
      <c r="E356" s="95" t="s">
        <v>22</v>
      </c>
      <c r="F356" s="98" t="s">
        <v>1380</v>
      </c>
    </row>
    <row r="357" spans="1:6" ht="28" x14ac:dyDescent="0.3">
      <c r="A357" s="94"/>
      <c r="B357" s="94"/>
      <c r="C357" s="94" t="s">
        <v>1381</v>
      </c>
      <c r="D357" s="94" t="s">
        <v>775</v>
      </c>
      <c r="E357" s="95" t="s">
        <v>21</v>
      </c>
      <c r="F357" s="98" t="s">
        <v>1389</v>
      </c>
    </row>
    <row r="358" spans="1:6" ht="28" x14ac:dyDescent="0.3">
      <c r="A358" s="94"/>
      <c r="B358" s="94"/>
      <c r="C358" s="94" t="s">
        <v>1383</v>
      </c>
      <c r="D358" s="94" t="s">
        <v>51</v>
      </c>
      <c r="E358" s="95" t="s">
        <v>22</v>
      </c>
      <c r="F358" s="98" t="s">
        <v>1390</v>
      </c>
    </row>
    <row r="359" spans="1:6" ht="56" x14ac:dyDescent="0.3">
      <c r="A359" s="94"/>
      <c r="B359" s="94"/>
      <c r="C359" s="94" t="s">
        <v>1385</v>
      </c>
      <c r="D359" s="94" t="s">
        <v>194</v>
      </c>
      <c r="E359" s="95" t="s">
        <v>21</v>
      </c>
      <c r="F359" s="98" t="s">
        <v>1391</v>
      </c>
    </row>
    <row r="360" spans="1:6" ht="112" x14ac:dyDescent="0.3">
      <c r="A360" s="99" t="s">
        <v>1566</v>
      </c>
      <c r="B360" s="99" t="s">
        <v>1567</v>
      </c>
      <c r="C360" s="99" t="s">
        <v>1379</v>
      </c>
      <c r="D360" s="99" t="s">
        <v>9</v>
      </c>
      <c r="E360" s="100" t="s">
        <v>22</v>
      </c>
      <c r="F360" s="101" t="s">
        <v>1380</v>
      </c>
    </row>
    <row r="361" spans="1:6" ht="28" x14ac:dyDescent="0.3">
      <c r="A361" s="99"/>
      <c r="B361" s="99"/>
      <c r="C361" s="99" t="s">
        <v>1381</v>
      </c>
      <c r="D361" s="99" t="s">
        <v>775</v>
      </c>
      <c r="E361" s="100" t="s">
        <v>21</v>
      </c>
      <c r="F361" s="101" t="s">
        <v>1389</v>
      </c>
    </row>
    <row r="362" spans="1:6" ht="28" x14ac:dyDescent="0.3">
      <c r="A362" s="99"/>
      <c r="B362" s="99"/>
      <c r="C362" s="99" t="s">
        <v>1383</v>
      </c>
      <c r="D362" s="99" t="s">
        <v>51</v>
      </c>
      <c r="E362" s="100" t="s">
        <v>22</v>
      </c>
      <c r="F362" s="101" t="s">
        <v>1390</v>
      </c>
    </row>
    <row r="363" spans="1:6" ht="56" x14ac:dyDescent="0.3">
      <c r="A363" s="99"/>
      <c r="B363" s="99"/>
      <c r="C363" s="99" t="s">
        <v>1385</v>
      </c>
      <c r="D363" s="99" t="s">
        <v>194</v>
      </c>
      <c r="E363" s="100" t="s">
        <v>21</v>
      </c>
      <c r="F363" s="101" t="s">
        <v>1391</v>
      </c>
    </row>
    <row r="364" spans="1:6" ht="112" x14ac:dyDescent="0.3">
      <c r="A364" s="94" t="s">
        <v>1568</v>
      </c>
      <c r="B364" s="94" t="s">
        <v>1569</v>
      </c>
      <c r="C364" s="94" t="s">
        <v>1379</v>
      </c>
      <c r="D364" s="94" t="s">
        <v>9</v>
      </c>
      <c r="E364" s="95" t="s">
        <v>22</v>
      </c>
      <c r="F364" s="98" t="s">
        <v>1380</v>
      </c>
    </row>
    <row r="365" spans="1:6" ht="28" x14ac:dyDescent="0.3">
      <c r="A365" s="94"/>
      <c r="B365" s="94"/>
      <c r="C365" s="94" t="s">
        <v>1381</v>
      </c>
      <c r="D365" s="94" t="s">
        <v>775</v>
      </c>
      <c r="E365" s="95" t="s">
        <v>21</v>
      </c>
      <c r="F365" s="98" t="s">
        <v>1389</v>
      </c>
    </row>
    <row r="366" spans="1:6" ht="28" x14ac:dyDescent="0.3">
      <c r="A366" s="94"/>
      <c r="B366" s="94"/>
      <c r="C366" s="94" t="s">
        <v>1383</v>
      </c>
      <c r="D366" s="94" t="s">
        <v>51</v>
      </c>
      <c r="E366" s="95" t="s">
        <v>22</v>
      </c>
      <c r="F366" s="98" t="s">
        <v>1390</v>
      </c>
    </row>
    <row r="367" spans="1:6" ht="56" x14ac:dyDescent="0.3">
      <c r="A367" s="94"/>
      <c r="B367" s="94"/>
      <c r="C367" s="94" t="s">
        <v>1385</v>
      </c>
      <c r="D367" s="94" t="s">
        <v>194</v>
      </c>
      <c r="E367" s="95" t="s">
        <v>21</v>
      </c>
      <c r="F367" s="98" t="s">
        <v>1391</v>
      </c>
    </row>
    <row r="368" spans="1:6" ht="112" x14ac:dyDescent="0.3">
      <c r="A368" s="99" t="s">
        <v>1570</v>
      </c>
      <c r="B368" s="99" t="s">
        <v>1571</v>
      </c>
      <c r="C368" s="99" t="s">
        <v>1379</v>
      </c>
      <c r="D368" s="99" t="s">
        <v>9</v>
      </c>
      <c r="E368" s="100" t="s">
        <v>22</v>
      </c>
      <c r="F368" s="101" t="s">
        <v>1380</v>
      </c>
    </row>
    <row r="369" spans="1:6" ht="28" x14ac:dyDescent="0.3">
      <c r="A369" s="99"/>
      <c r="B369" s="99"/>
      <c r="C369" s="99" t="s">
        <v>1381</v>
      </c>
      <c r="D369" s="99" t="s">
        <v>775</v>
      </c>
      <c r="E369" s="100" t="s">
        <v>21</v>
      </c>
      <c r="F369" s="101" t="s">
        <v>1389</v>
      </c>
    </row>
    <row r="370" spans="1:6" ht="28" x14ac:dyDescent="0.3">
      <c r="A370" s="99"/>
      <c r="B370" s="99"/>
      <c r="C370" s="99" t="s">
        <v>1383</v>
      </c>
      <c r="D370" s="99" t="s">
        <v>51</v>
      </c>
      <c r="E370" s="100" t="s">
        <v>22</v>
      </c>
      <c r="F370" s="101" t="s">
        <v>1390</v>
      </c>
    </row>
    <row r="371" spans="1:6" ht="56" x14ac:dyDescent="0.3">
      <c r="A371" s="99"/>
      <c r="B371" s="99"/>
      <c r="C371" s="99" t="s">
        <v>1385</v>
      </c>
      <c r="D371" s="99" t="s">
        <v>194</v>
      </c>
      <c r="E371" s="100" t="s">
        <v>21</v>
      </c>
      <c r="F371" s="101" t="s">
        <v>1391</v>
      </c>
    </row>
    <row r="372" spans="1:6" ht="112" x14ac:dyDescent="0.3">
      <c r="A372" s="94" t="s">
        <v>1572</v>
      </c>
      <c r="B372" s="94" t="s">
        <v>1573</v>
      </c>
      <c r="C372" s="94" t="s">
        <v>1379</v>
      </c>
      <c r="D372" s="94" t="s">
        <v>9</v>
      </c>
      <c r="E372" s="95" t="s">
        <v>22</v>
      </c>
      <c r="F372" s="98" t="s">
        <v>1380</v>
      </c>
    </row>
    <row r="373" spans="1:6" ht="28" x14ac:dyDescent="0.3">
      <c r="A373" s="94"/>
      <c r="B373" s="94"/>
      <c r="C373" s="94" t="s">
        <v>1381</v>
      </c>
      <c r="D373" s="94" t="s">
        <v>775</v>
      </c>
      <c r="E373" s="95" t="s">
        <v>21</v>
      </c>
      <c r="F373" s="98" t="s">
        <v>1389</v>
      </c>
    </row>
    <row r="374" spans="1:6" ht="28" x14ac:dyDescent="0.3">
      <c r="A374" s="94"/>
      <c r="B374" s="94"/>
      <c r="C374" s="94" t="s">
        <v>1383</v>
      </c>
      <c r="D374" s="94" t="s">
        <v>51</v>
      </c>
      <c r="E374" s="95" t="s">
        <v>22</v>
      </c>
      <c r="F374" s="98" t="s">
        <v>1390</v>
      </c>
    </row>
    <row r="375" spans="1:6" ht="56" x14ac:dyDescent="0.3">
      <c r="A375" s="94"/>
      <c r="B375" s="94"/>
      <c r="C375" s="94" t="s">
        <v>1385</v>
      </c>
      <c r="D375" s="94" t="s">
        <v>194</v>
      </c>
      <c r="E375" s="95" t="s">
        <v>21</v>
      </c>
      <c r="F375" s="98" t="s">
        <v>1391</v>
      </c>
    </row>
    <row r="376" spans="1:6" ht="112" x14ac:dyDescent="0.3">
      <c r="A376" s="99" t="s">
        <v>1574</v>
      </c>
      <c r="B376" s="99" t="s">
        <v>1575</v>
      </c>
      <c r="C376" s="99" t="s">
        <v>1379</v>
      </c>
      <c r="D376" s="99" t="s">
        <v>9</v>
      </c>
      <c r="E376" s="100" t="s">
        <v>22</v>
      </c>
      <c r="F376" s="101" t="s">
        <v>1380</v>
      </c>
    </row>
    <row r="377" spans="1:6" ht="28" x14ac:dyDescent="0.3">
      <c r="A377" s="99"/>
      <c r="B377" s="99"/>
      <c r="C377" s="99" t="s">
        <v>1381</v>
      </c>
      <c r="D377" s="99" t="s">
        <v>775</v>
      </c>
      <c r="E377" s="100" t="s">
        <v>21</v>
      </c>
      <c r="F377" s="101" t="s">
        <v>1389</v>
      </c>
    </row>
    <row r="378" spans="1:6" ht="28" x14ac:dyDescent="0.3">
      <c r="A378" s="99"/>
      <c r="B378" s="99"/>
      <c r="C378" s="99" t="s">
        <v>1383</v>
      </c>
      <c r="D378" s="99" t="s">
        <v>51</v>
      </c>
      <c r="E378" s="100" t="s">
        <v>22</v>
      </c>
      <c r="F378" s="101" t="s">
        <v>1390</v>
      </c>
    </row>
    <row r="379" spans="1:6" ht="56" x14ac:dyDescent="0.3">
      <c r="A379" s="99"/>
      <c r="B379" s="99"/>
      <c r="C379" s="99" t="s">
        <v>1385</v>
      </c>
      <c r="D379" s="99" t="s">
        <v>194</v>
      </c>
      <c r="E379" s="100" t="s">
        <v>21</v>
      </c>
      <c r="F379" s="101" t="s">
        <v>1391</v>
      </c>
    </row>
    <row r="380" spans="1:6" ht="112" x14ac:dyDescent="0.3">
      <c r="A380" s="94" t="s">
        <v>1576</v>
      </c>
      <c r="B380" s="94" t="s">
        <v>1577</v>
      </c>
      <c r="C380" s="94" t="s">
        <v>1379</v>
      </c>
      <c r="D380" s="94" t="s">
        <v>9</v>
      </c>
      <c r="E380" s="95" t="s">
        <v>22</v>
      </c>
      <c r="F380" s="98" t="s">
        <v>1380</v>
      </c>
    </row>
    <row r="381" spans="1:6" ht="28" x14ac:dyDescent="0.3">
      <c r="A381" s="94"/>
      <c r="B381" s="94"/>
      <c r="C381" s="94" t="s">
        <v>1381</v>
      </c>
      <c r="D381" s="94" t="s">
        <v>775</v>
      </c>
      <c r="E381" s="95" t="s">
        <v>21</v>
      </c>
      <c r="F381" s="98" t="s">
        <v>1389</v>
      </c>
    </row>
    <row r="382" spans="1:6" ht="28" x14ac:dyDescent="0.3">
      <c r="A382" s="94"/>
      <c r="B382" s="94"/>
      <c r="C382" s="94" t="s">
        <v>1383</v>
      </c>
      <c r="D382" s="94" t="s">
        <v>51</v>
      </c>
      <c r="E382" s="95" t="s">
        <v>22</v>
      </c>
      <c r="F382" s="98" t="s">
        <v>1390</v>
      </c>
    </row>
    <row r="383" spans="1:6" ht="56" x14ac:dyDescent="0.3">
      <c r="A383" s="94"/>
      <c r="B383" s="94"/>
      <c r="C383" s="94" t="s">
        <v>1385</v>
      </c>
      <c r="D383" s="94" t="s">
        <v>194</v>
      </c>
      <c r="E383" s="95" t="s">
        <v>21</v>
      </c>
      <c r="F383" s="98" t="s">
        <v>1391</v>
      </c>
    </row>
    <row r="384" spans="1:6" ht="112" x14ac:dyDescent="0.3">
      <c r="A384" s="99" t="s">
        <v>1578</v>
      </c>
      <c r="B384" s="99" t="s">
        <v>1579</v>
      </c>
      <c r="C384" s="99" t="s">
        <v>1379</v>
      </c>
      <c r="D384" s="99" t="s">
        <v>9</v>
      </c>
      <c r="E384" s="100" t="s">
        <v>22</v>
      </c>
      <c r="F384" s="101" t="s">
        <v>1380</v>
      </c>
    </row>
    <row r="385" spans="1:6" ht="28" x14ac:dyDescent="0.3">
      <c r="A385" s="99"/>
      <c r="B385" s="99"/>
      <c r="C385" s="99" t="s">
        <v>1381</v>
      </c>
      <c r="D385" s="99" t="s">
        <v>775</v>
      </c>
      <c r="E385" s="100" t="s">
        <v>21</v>
      </c>
      <c r="F385" s="101" t="s">
        <v>1389</v>
      </c>
    </row>
    <row r="386" spans="1:6" ht="28" x14ac:dyDescent="0.3">
      <c r="A386" s="99"/>
      <c r="B386" s="99"/>
      <c r="C386" s="99" t="s">
        <v>1383</v>
      </c>
      <c r="D386" s="99" t="s">
        <v>51</v>
      </c>
      <c r="E386" s="100" t="s">
        <v>22</v>
      </c>
      <c r="F386" s="101" t="s">
        <v>1390</v>
      </c>
    </row>
    <row r="387" spans="1:6" ht="56" x14ac:dyDescent="0.3">
      <c r="A387" s="99"/>
      <c r="B387" s="99"/>
      <c r="C387" s="99" t="s">
        <v>1385</v>
      </c>
      <c r="D387" s="99" t="s">
        <v>194</v>
      </c>
      <c r="E387" s="100" t="s">
        <v>21</v>
      </c>
      <c r="F387" s="101" t="s">
        <v>1391</v>
      </c>
    </row>
    <row r="388" spans="1:6" ht="112" x14ac:dyDescent="0.3">
      <c r="A388" s="94" t="s">
        <v>1580</v>
      </c>
      <c r="B388" s="94" t="s">
        <v>1581</v>
      </c>
      <c r="C388" s="94" t="s">
        <v>1379</v>
      </c>
      <c r="D388" s="94" t="s">
        <v>9</v>
      </c>
      <c r="E388" s="95" t="s">
        <v>22</v>
      </c>
      <c r="F388" s="98" t="s">
        <v>1380</v>
      </c>
    </row>
    <row r="389" spans="1:6" ht="28" x14ac:dyDescent="0.3">
      <c r="A389" s="94"/>
      <c r="B389" s="94"/>
      <c r="C389" s="94" t="s">
        <v>1381</v>
      </c>
      <c r="D389" s="94" t="s">
        <v>775</v>
      </c>
      <c r="E389" s="95" t="s">
        <v>21</v>
      </c>
      <c r="F389" s="98" t="s">
        <v>1389</v>
      </c>
    </row>
    <row r="390" spans="1:6" ht="28" x14ac:dyDescent="0.3">
      <c r="A390" s="94"/>
      <c r="B390" s="94"/>
      <c r="C390" s="94" t="s">
        <v>1383</v>
      </c>
      <c r="D390" s="94" t="s">
        <v>51</v>
      </c>
      <c r="E390" s="95" t="s">
        <v>22</v>
      </c>
      <c r="F390" s="98" t="s">
        <v>1390</v>
      </c>
    </row>
    <row r="391" spans="1:6" ht="56" x14ac:dyDescent="0.3">
      <c r="A391" s="94"/>
      <c r="B391" s="94"/>
      <c r="C391" s="94" t="s">
        <v>1385</v>
      </c>
      <c r="D391" s="94" t="s">
        <v>194</v>
      </c>
      <c r="E391" s="95" t="s">
        <v>21</v>
      </c>
      <c r="F391" s="98" t="s">
        <v>1391</v>
      </c>
    </row>
    <row r="392" spans="1:6" ht="112" x14ac:dyDescent="0.3">
      <c r="A392" s="99" t="s">
        <v>1582</v>
      </c>
      <c r="B392" s="99" t="s">
        <v>1583</v>
      </c>
      <c r="C392" s="99" t="s">
        <v>1379</v>
      </c>
      <c r="D392" s="99" t="s">
        <v>9</v>
      </c>
      <c r="E392" s="100" t="s">
        <v>22</v>
      </c>
      <c r="F392" s="101" t="s">
        <v>1380</v>
      </c>
    </row>
    <row r="393" spans="1:6" ht="28" x14ac:dyDescent="0.3">
      <c r="A393" s="99"/>
      <c r="B393" s="99"/>
      <c r="C393" s="99" t="s">
        <v>1381</v>
      </c>
      <c r="D393" s="99" t="s">
        <v>775</v>
      </c>
      <c r="E393" s="100" t="s">
        <v>21</v>
      </c>
      <c r="F393" s="101" t="s">
        <v>1389</v>
      </c>
    </row>
    <row r="394" spans="1:6" ht="28" x14ac:dyDescent="0.3">
      <c r="A394" s="99"/>
      <c r="B394" s="99"/>
      <c r="C394" s="99" t="s">
        <v>1383</v>
      </c>
      <c r="D394" s="99" t="s">
        <v>51</v>
      </c>
      <c r="E394" s="100" t="s">
        <v>22</v>
      </c>
      <c r="F394" s="101" t="s">
        <v>1390</v>
      </c>
    </row>
    <row r="395" spans="1:6" ht="56" x14ac:dyDescent="0.3">
      <c r="A395" s="99"/>
      <c r="B395" s="99"/>
      <c r="C395" s="99" t="s">
        <v>1385</v>
      </c>
      <c r="D395" s="99" t="s">
        <v>194</v>
      </c>
      <c r="E395" s="100" t="s">
        <v>21</v>
      </c>
      <c r="F395" s="101" t="s">
        <v>1391</v>
      </c>
    </row>
    <row r="396" spans="1:6" ht="112" x14ac:dyDescent="0.3">
      <c r="A396" s="94" t="s">
        <v>1584</v>
      </c>
      <c r="B396" s="94" t="s">
        <v>1585</v>
      </c>
      <c r="C396" s="94" t="s">
        <v>1379</v>
      </c>
      <c r="D396" s="94" t="s">
        <v>9</v>
      </c>
      <c r="E396" s="95" t="s">
        <v>22</v>
      </c>
      <c r="F396" s="98" t="s">
        <v>1380</v>
      </c>
    </row>
    <row r="397" spans="1:6" ht="28" x14ac:dyDescent="0.3">
      <c r="A397" s="94"/>
      <c r="B397" s="94"/>
      <c r="C397" s="94" t="s">
        <v>1381</v>
      </c>
      <c r="D397" s="94" t="s">
        <v>775</v>
      </c>
      <c r="E397" s="95" t="s">
        <v>21</v>
      </c>
      <c r="F397" s="98" t="s">
        <v>1389</v>
      </c>
    </row>
    <row r="398" spans="1:6" ht="28" x14ac:dyDescent="0.3">
      <c r="A398" s="94"/>
      <c r="B398" s="94"/>
      <c r="C398" s="94" t="s">
        <v>1383</v>
      </c>
      <c r="D398" s="94" t="s">
        <v>51</v>
      </c>
      <c r="E398" s="95" t="s">
        <v>22</v>
      </c>
      <c r="F398" s="98" t="s">
        <v>1390</v>
      </c>
    </row>
    <row r="399" spans="1:6" ht="56" x14ac:dyDescent="0.3">
      <c r="A399" s="94"/>
      <c r="B399" s="94"/>
      <c r="C399" s="94" t="s">
        <v>1385</v>
      </c>
      <c r="D399" s="94" t="s">
        <v>194</v>
      </c>
      <c r="E399" s="95" t="s">
        <v>21</v>
      </c>
      <c r="F399" s="98" t="s">
        <v>1391</v>
      </c>
    </row>
    <row r="400" spans="1:6" ht="112" x14ac:dyDescent="0.3">
      <c r="A400" s="99" t="s">
        <v>1586</v>
      </c>
      <c r="B400" s="99" t="s">
        <v>1587</v>
      </c>
      <c r="C400" s="99" t="s">
        <v>1379</v>
      </c>
      <c r="D400" s="99" t="s">
        <v>9</v>
      </c>
      <c r="E400" s="100" t="s">
        <v>22</v>
      </c>
      <c r="F400" s="101" t="s">
        <v>1380</v>
      </c>
    </row>
    <row r="401" spans="1:6" ht="28" x14ac:dyDescent="0.3">
      <c r="A401" s="99"/>
      <c r="B401" s="99"/>
      <c r="C401" s="99" t="s">
        <v>1381</v>
      </c>
      <c r="D401" s="99" t="s">
        <v>775</v>
      </c>
      <c r="E401" s="100" t="s">
        <v>21</v>
      </c>
      <c r="F401" s="101" t="s">
        <v>1389</v>
      </c>
    </row>
    <row r="402" spans="1:6" ht="28" x14ac:dyDescent="0.3">
      <c r="A402" s="99"/>
      <c r="B402" s="99"/>
      <c r="C402" s="99" t="s">
        <v>1383</v>
      </c>
      <c r="D402" s="99" t="s">
        <v>51</v>
      </c>
      <c r="E402" s="100" t="s">
        <v>22</v>
      </c>
      <c r="F402" s="101" t="s">
        <v>1390</v>
      </c>
    </row>
    <row r="403" spans="1:6" ht="56" x14ac:dyDescent="0.3">
      <c r="A403" s="99"/>
      <c r="B403" s="99"/>
      <c r="C403" s="99" t="s">
        <v>1385</v>
      </c>
      <c r="D403" s="99" t="s">
        <v>194</v>
      </c>
      <c r="E403" s="100" t="s">
        <v>21</v>
      </c>
      <c r="F403" s="101" t="s">
        <v>1391</v>
      </c>
    </row>
    <row r="404" spans="1:6" ht="112" x14ac:dyDescent="0.3">
      <c r="A404" s="94" t="s">
        <v>1588</v>
      </c>
      <c r="B404" s="94" t="s">
        <v>1589</v>
      </c>
      <c r="C404" s="94" t="s">
        <v>1379</v>
      </c>
      <c r="D404" s="94" t="s">
        <v>9</v>
      </c>
      <c r="E404" s="95" t="s">
        <v>22</v>
      </c>
      <c r="F404" s="98" t="s">
        <v>1380</v>
      </c>
    </row>
    <row r="405" spans="1:6" ht="28" x14ac:dyDescent="0.3">
      <c r="A405" s="94"/>
      <c r="B405" s="94"/>
      <c r="C405" s="94" t="s">
        <v>1381</v>
      </c>
      <c r="D405" s="94" t="s">
        <v>775</v>
      </c>
      <c r="E405" s="95" t="s">
        <v>21</v>
      </c>
      <c r="F405" s="98" t="s">
        <v>1389</v>
      </c>
    </row>
    <row r="406" spans="1:6" ht="28" x14ac:dyDescent="0.3">
      <c r="A406" s="94"/>
      <c r="B406" s="94"/>
      <c r="C406" s="94" t="s">
        <v>1383</v>
      </c>
      <c r="D406" s="94" t="s">
        <v>51</v>
      </c>
      <c r="E406" s="95" t="s">
        <v>22</v>
      </c>
      <c r="F406" s="98" t="s">
        <v>1390</v>
      </c>
    </row>
    <row r="407" spans="1:6" ht="56" x14ac:dyDescent="0.3">
      <c r="A407" s="94"/>
      <c r="B407" s="94"/>
      <c r="C407" s="94" t="s">
        <v>1385</v>
      </c>
      <c r="D407" s="94" t="s">
        <v>194</v>
      </c>
      <c r="E407" s="95" t="s">
        <v>21</v>
      </c>
      <c r="F407" s="98" t="s">
        <v>1391</v>
      </c>
    </row>
    <row r="408" spans="1:6" ht="112" x14ac:dyDescent="0.3">
      <c r="A408" s="99" t="s">
        <v>1590</v>
      </c>
      <c r="B408" s="99" t="s">
        <v>1591</v>
      </c>
      <c r="C408" s="99" t="s">
        <v>1379</v>
      </c>
      <c r="D408" s="99" t="s">
        <v>9</v>
      </c>
      <c r="E408" s="100" t="s">
        <v>22</v>
      </c>
      <c r="F408" s="101" t="s">
        <v>1380</v>
      </c>
    </row>
    <row r="409" spans="1:6" ht="28" x14ac:dyDescent="0.3">
      <c r="A409" s="99"/>
      <c r="B409" s="99"/>
      <c r="C409" s="99" t="s">
        <v>1381</v>
      </c>
      <c r="D409" s="99" t="s">
        <v>775</v>
      </c>
      <c r="E409" s="100" t="s">
        <v>21</v>
      </c>
      <c r="F409" s="101" t="s">
        <v>1389</v>
      </c>
    </row>
    <row r="410" spans="1:6" ht="28" x14ac:dyDescent="0.3">
      <c r="A410" s="99"/>
      <c r="B410" s="99"/>
      <c r="C410" s="99" t="s">
        <v>1383</v>
      </c>
      <c r="D410" s="99" t="s">
        <v>51</v>
      </c>
      <c r="E410" s="100" t="s">
        <v>22</v>
      </c>
      <c r="F410" s="101" t="s">
        <v>1390</v>
      </c>
    </row>
    <row r="411" spans="1:6" ht="56" x14ac:dyDescent="0.3">
      <c r="A411" s="99"/>
      <c r="B411" s="99"/>
      <c r="C411" s="99" t="s">
        <v>1385</v>
      </c>
      <c r="D411" s="99" t="s">
        <v>194</v>
      </c>
      <c r="E411" s="100" t="s">
        <v>21</v>
      </c>
      <c r="F411" s="101" t="s">
        <v>1391</v>
      </c>
    </row>
    <row r="412" spans="1:6" ht="112" x14ac:dyDescent="0.3">
      <c r="A412" s="94" t="s">
        <v>1592</v>
      </c>
      <c r="B412" s="94" t="s">
        <v>1593</v>
      </c>
      <c r="C412" s="94" t="s">
        <v>1379</v>
      </c>
      <c r="D412" s="94" t="s">
        <v>9</v>
      </c>
      <c r="E412" s="95" t="s">
        <v>22</v>
      </c>
      <c r="F412" s="98" t="s">
        <v>1380</v>
      </c>
    </row>
    <row r="413" spans="1:6" ht="28" x14ac:dyDescent="0.3">
      <c r="A413" s="94"/>
      <c r="B413" s="94"/>
      <c r="C413" s="94" t="s">
        <v>1381</v>
      </c>
      <c r="D413" s="94" t="s">
        <v>775</v>
      </c>
      <c r="E413" s="95" t="s">
        <v>21</v>
      </c>
      <c r="F413" s="98" t="s">
        <v>1389</v>
      </c>
    </row>
    <row r="414" spans="1:6" ht="28" x14ac:dyDescent="0.3">
      <c r="A414" s="94"/>
      <c r="B414" s="94"/>
      <c r="C414" s="94" t="s">
        <v>1383</v>
      </c>
      <c r="D414" s="94" t="s">
        <v>51</v>
      </c>
      <c r="E414" s="95" t="s">
        <v>22</v>
      </c>
      <c r="F414" s="98" t="s">
        <v>1390</v>
      </c>
    </row>
    <row r="415" spans="1:6" ht="56" x14ac:dyDescent="0.3">
      <c r="A415" s="94"/>
      <c r="B415" s="94"/>
      <c r="C415" s="94" t="s">
        <v>1385</v>
      </c>
      <c r="D415" s="94" t="s">
        <v>194</v>
      </c>
      <c r="E415" s="95" t="s">
        <v>21</v>
      </c>
      <c r="F415" s="98" t="s">
        <v>1391</v>
      </c>
    </row>
    <row r="416" spans="1:6" ht="112" x14ac:dyDescent="0.3">
      <c r="A416" s="99" t="s">
        <v>1594</v>
      </c>
      <c r="B416" s="99" t="s">
        <v>1595</v>
      </c>
      <c r="C416" s="99" t="s">
        <v>1379</v>
      </c>
      <c r="D416" s="99" t="s">
        <v>9</v>
      </c>
      <c r="E416" s="100" t="s">
        <v>22</v>
      </c>
      <c r="F416" s="101" t="s">
        <v>1380</v>
      </c>
    </row>
    <row r="417" spans="1:6" ht="28" x14ac:dyDescent="0.3">
      <c r="A417" s="99"/>
      <c r="B417" s="99"/>
      <c r="C417" s="99" t="s">
        <v>1381</v>
      </c>
      <c r="D417" s="99" t="s">
        <v>775</v>
      </c>
      <c r="E417" s="100" t="s">
        <v>21</v>
      </c>
      <c r="F417" s="101" t="s">
        <v>1389</v>
      </c>
    </row>
    <row r="418" spans="1:6" ht="28" x14ac:dyDescent="0.3">
      <c r="A418" s="99"/>
      <c r="B418" s="99"/>
      <c r="C418" s="99" t="s">
        <v>1383</v>
      </c>
      <c r="D418" s="99" t="s">
        <v>51</v>
      </c>
      <c r="E418" s="100" t="s">
        <v>22</v>
      </c>
      <c r="F418" s="101" t="s">
        <v>1390</v>
      </c>
    </row>
    <row r="419" spans="1:6" ht="56" x14ac:dyDescent="0.3">
      <c r="A419" s="99"/>
      <c r="B419" s="99"/>
      <c r="C419" s="99" t="s">
        <v>1385</v>
      </c>
      <c r="D419" s="99" t="s">
        <v>194</v>
      </c>
      <c r="E419" s="100" t="s">
        <v>21</v>
      </c>
      <c r="F419" s="101" t="s">
        <v>1391</v>
      </c>
    </row>
    <row r="420" spans="1:6" ht="112" x14ac:dyDescent="0.3">
      <c r="A420" s="94" t="s">
        <v>1596</v>
      </c>
      <c r="B420" s="94" t="s">
        <v>1597</v>
      </c>
      <c r="C420" s="94" t="s">
        <v>1379</v>
      </c>
      <c r="D420" s="94" t="s">
        <v>9</v>
      </c>
      <c r="E420" s="95" t="s">
        <v>22</v>
      </c>
      <c r="F420" s="98" t="s">
        <v>1380</v>
      </c>
    </row>
    <row r="421" spans="1:6" ht="28" x14ac:dyDescent="0.3">
      <c r="A421" s="94"/>
      <c r="B421" s="94"/>
      <c r="C421" s="94" t="s">
        <v>1381</v>
      </c>
      <c r="D421" s="94" t="s">
        <v>775</v>
      </c>
      <c r="E421" s="95" t="s">
        <v>21</v>
      </c>
      <c r="F421" s="98" t="s">
        <v>1389</v>
      </c>
    </row>
    <row r="422" spans="1:6" ht="28" x14ac:dyDescent="0.3">
      <c r="A422" s="94"/>
      <c r="B422" s="94"/>
      <c r="C422" s="94" t="s">
        <v>1383</v>
      </c>
      <c r="D422" s="94" t="s">
        <v>51</v>
      </c>
      <c r="E422" s="95" t="s">
        <v>22</v>
      </c>
      <c r="F422" s="98" t="s">
        <v>1390</v>
      </c>
    </row>
    <row r="423" spans="1:6" ht="56" x14ac:dyDescent="0.3">
      <c r="A423" s="94"/>
      <c r="B423" s="94"/>
      <c r="C423" s="94" t="s">
        <v>1385</v>
      </c>
      <c r="D423" s="94" t="s">
        <v>194</v>
      </c>
      <c r="E423" s="95" t="s">
        <v>21</v>
      </c>
      <c r="F423" s="98" t="s">
        <v>1391</v>
      </c>
    </row>
    <row r="424" spans="1:6" ht="112" x14ac:dyDescent="0.3">
      <c r="A424" s="99" t="s">
        <v>1598</v>
      </c>
      <c r="B424" s="99" t="s">
        <v>1599</v>
      </c>
      <c r="C424" s="99" t="s">
        <v>1379</v>
      </c>
      <c r="D424" s="99" t="s">
        <v>9</v>
      </c>
      <c r="E424" s="100" t="s">
        <v>22</v>
      </c>
      <c r="F424" s="101" t="s">
        <v>1380</v>
      </c>
    </row>
    <row r="425" spans="1:6" ht="28" x14ac:dyDescent="0.3">
      <c r="A425" s="99"/>
      <c r="B425" s="99"/>
      <c r="C425" s="99" t="s">
        <v>1381</v>
      </c>
      <c r="D425" s="99" t="s">
        <v>775</v>
      </c>
      <c r="E425" s="100" t="s">
        <v>21</v>
      </c>
      <c r="F425" s="101" t="s">
        <v>1389</v>
      </c>
    </row>
    <row r="426" spans="1:6" ht="28" x14ac:dyDescent="0.3">
      <c r="A426" s="99"/>
      <c r="B426" s="99"/>
      <c r="C426" s="99" t="s">
        <v>1383</v>
      </c>
      <c r="D426" s="99" t="s">
        <v>51</v>
      </c>
      <c r="E426" s="100" t="s">
        <v>22</v>
      </c>
      <c r="F426" s="101" t="s">
        <v>1390</v>
      </c>
    </row>
    <row r="427" spans="1:6" ht="56" x14ac:dyDescent="0.3">
      <c r="A427" s="99"/>
      <c r="B427" s="99"/>
      <c r="C427" s="99" t="s">
        <v>1385</v>
      </c>
      <c r="D427" s="99" t="s">
        <v>194</v>
      </c>
      <c r="E427" s="100" t="s">
        <v>21</v>
      </c>
      <c r="F427" s="101" t="s">
        <v>1391</v>
      </c>
    </row>
    <row r="428" spans="1:6" ht="112" x14ac:dyDescent="0.3">
      <c r="A428" s="94" t="s">
        <v>1600</v>
      </c>
      <c r="B428" s="94" t="s">
        <v>1601</v>
      </c>
      <c r="C428" s="94" t="s">
        <v>1379</v>
      </c>
      <c r="D428" s="94" t="s">
        <v>9</v>
      </c>
      <c r="E428" s="95" t="s">
        <v>22</v>
      </c>
      <c r="F428" s="98" t="s">
        <v>1380</v>
      </c>
    </row>
    <row r="429" spans="1:6" ht="28" x14ac:dyDescent="0.3">
      <c r="A429" s="94"/>
      <c r="B429" s="94"/>
      <c r="C429" s="94" t="s">
        <v>1381</v>
      </c>
      <c r="D429" s="94" t="s">
        <v>775</v>
      </c>
      <c r="E429" s="95" t="s">
        <v>21</v>
      </c>
      <c r="F429" s="98" t="s">
        <v>1389</v>
      </c>
    </row>
    <row r="430" spans="1:6" ht="28" x14ac:dyDescent="0.3">
      <c r="A430" s="94"/>
      <c r="B430" s="94"/>
      <c r="C430" s="94" t="s">
        <v>1383</v>
      </c>
      <c r="D430" s="94" t="s">
        <v>51</v>
      </c>
      <c r="E430" s="95" t="s">
        <v>22</v>
      </c>
      <c r="F430" s="98" t="s">
        <v>1390</v>
      </c>
    </row>
    <row r="431" spans="1:6" ht="56" x14ac:dyDescent="0.3">
      <c r="A431" s="94"/>
      <c r="B431" s="94"/>
      <c r="C431" s="94" t="s">
        <v>1385</v>
      </c>
      <c r="D431" s="94" t="s">
        <v>194</v>
      </c>
      <c r="E431" s="95" t="s">
        <v>21</v>
      </c>
      <c r="F431" s="98" t="s">
        <v>1391</v>
      </c>
    </row>
    <row r="432" spans="1:6" ht="112" x14ac:dyDescent="0.3">
      <c r="A432" s="99" t="s">
        <v>1602</v>
      </c>
      <c r="B432" s="99" t="s">
        <v>1603</v>
      </c>
      <c r="C432" s="99" t="s">
        <v>1379</v>
      </c>
      <c r="D432" s="99" t="s">
        <v>9</v>
      </c>
      <c r="E432" s="100" t="s">
        <v>22</v>
      </c>
      <c r="F432" s="101" t="s">
        <v>1380</v>
      </c>
    </row>
    <row r="433" spans="1:6" ht="28" x14ac:dyDescent="0.3">
      <c r="A433" s="99"/>
      <c r="B433" s="99"/>
      <c r="C433" s="99" t="s">
        <v>1381</v>
      </c>
      <c r="D433" s="99" t="s">
        <v>775</v>
      </c>
      <c r="E433" s="100" t="s">
        <v>21</v>
      </c>
      <c r="F433" s="101" t="s">
        <v>1389</v>
      </c>
    </row>
    <row r="434" spans="1:6" ht="28" x14ac:dyDescent="0.3">
      <c r="A434" s="99"/>
      <c r="B434" s="99"/>
      <c r="C434" s="99" t="s">
        <v>1383</v>
      </c>
      <c r="D434" s="99" t="s">
        <v>51</v>
      </c>
      <c r="E434" s="100" t="s">
        <v>22</v>
      </c>
      <c r="F434" s="101" t="s">
        <v>1390</v>
      </c>
    </row>
    <row r="435" spans="1:6" ht="56" x14ac:dyDescent="0.3">
      <c r="A435" s="99"/>
      <c r="B435" s="99"/>
      <c r="C435" s="99" t="s">
        <v>1385</v>
      </c>
      <c r="D435" s="99" t="s">
        <v>194</v>
      </c>
      <c r="E435" s="100" t="s">
        <v>21</v>
      </c>
      <c r="F435" s="101" t="s">
        <v>1391</v>
      </c>
    </row>
    <row r="436" spans="1:6" ht="112" x14ac:dyDescent="0.3">
      <c r="A436" s="94" t="s">
        <v>1604</v>
      </c>
      <c r="B436" s="94" t="s">
        <v>1605</v>
      </c>
      <c r="C436" s="94" t="s">
        <v>1379</v>
      </c>
      <c r="D436" s="94" t="s">
        <v>9</v>
      </c>
      <c r="E436" s="95" t="s">
        <v>22</v>
      </c>
      <c r="F436" s="98" t="s">
        <v>1380</v>
      </c>
    </row>
    <row r="437" spans="1:6" ht="28" x14ac:dyDescent="0.3">
      <c r="A437" s="94"/>
      <c r="B437" s="94"/>
      <c r="C437" s="94" t="s">
        <v>1381</v>
      </c>
      <c r="D437" s="94" t="s">
        <v>775</v>
      </c>
      <c r="E437" s="95" t="s">
        <v>21</v>
      </c>
      <c r="F437" s="98" t="s">
        <v>1389</v>
      </c>
    </row>
    <row r="438" spans="1:6" ht="28" x14ac:dyDescent="0.3">
      <c r="A438" s="94"/>
      <c r="B438" s="94"/>
      <c r="C438" s="94" t="s">
        <v>1383</v>
      </c>
      <c r="D438" s="94" t="s">
        <v>51</v>
      </c>
      <c r="E438" s="95" t="s">
        <v>22</v>
      </c>
      <c r="F438" s="98" t="s">
        <v>1390</v>
      </c>
    </row>
    <row r="439" spans="1:6" ht="56" x14ac:dyDescent="0.3">
      <c r="A439" s="94"/>
      <c r="B439" s="94"/>
      <c r="C439" s="94" t="s">
        <v>1385</v>
      </c>
      <c r="D439" s="94" t="s">
        <v>194</v>
      </c>
      <c r="E439" s="95" t="s">
        <v>21</v>
      </c>
      <c r="F439" s="98" t="s">
        <v>1391</v>
      </c>
    </row>
    <row r="440" spans="1:6" ht="28" x14ac:dyDescent="0.3">
      <c r="A440" s="99" t="s">
        <v>1606</v>
      </c>
      <c r="B440" s="99" t="s">
        <v>1607</v>
      </c>
      <c r="C440" s="99" t="s">
        <v>1608</v>
      </c>
      <c r="D440" s="99" t="s">
        <v>1609</v>
      </c>
      <c r="E440" s="100" t="s">
        <v>21</v>
      </c>
      <c r="F440" s="101" t="s">
        <v>1610</v>
      </c>
    </row>
    <row r="441" spans="1:6" ht="28" x14ac:dyDescent="0.3">
      <c r="A441" s="99"/>
      <c r="B441" s="99"/>
      <c r="C441" s="99" t="s">
        <v>1611</v>
      </c>
      <c r="D441" s="99" t="s">
        <v>16</v>
      </c>
      <c r="E441" s="100" t="s">
        <v>21</v>
      </c>
      <c r="F441" s="101" t="s">
        <v>1610</v>
      </c>
    </row>
    <row r="442" spans="1:6" ht="28" x14ac:dyDescent="0.3">
      <c r="A442" s="99"/>
      <c r="B442" s="99"/>
      <c r="C442" s="99" t="s">
        <v>1612</v>
      </c>
      <c r="D442" s="99" t="s">
        <v>1613</v>
      </c>
      <c r="E442" s="100" t="s">
        <v>21</v>
      </c>
      <c r="F442" s="101" t="s">
        <v>1610</v>
      </c>
    </row>
    <row r="443" spans="1:6" ht="56" x14ac:dyDescent="0.3">
      <c r="A443" s="99"/>
      <c r="B443" s="99"/>
      <c r="C443" s="99" t="s">
        <v>1614</v>
      </c>
      <c r="D443" s="99" t="s">
        <v>878</v>
      </c>
      <c r="E443" s="100" t="s">
        <v>21</v>
      </c>
      <c r="F443" s="101" t="s">
        <v>1615</v>
      </c>
    </row>
    <row r="444" spans="1:6" ht="56" x14ac:dyDescent="0.3">
      <c r="A444" s="99"/>
      <c r="B444" s="99"/>
      <c r="C444" s="99" t="s">
        <v>1616</v>
      </c>
      <c r="D444" s="99" t="s">
        <v>148</v>
      </c>
      <c r="E444" s="100" t="s">
        <v>21</v>
      </c>
      <c r="F444" s="101" t="s">
        <v>1615</v>
      </c>
    </row>
    <row r="445" spans="1:6" ht="56" x14ac:dyDescent="0.3">
      <c r="A445" s="99"/>
      <c r="B445" s="99"/>
      <c r="C445" s="99" t="s">
        <v>1617</v>
      </c>
      <c r="D445" s="99" t="s">
        <v>194</v>
      </c>
      <c r="E445" s="100" t="s">
        <v>21</v>
      </c>
      <c r="F445" s="101" t="s">
        <v>1615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dmc_sys_apb_reg</vt:lpstr>
      <vt:lpstr>umctl2_timing</vt:lpstr>
      <vt:lpstr>umctl2_perf</vt:lpstr>
      <vt:lpstr>init_flow</vt:lpstr>
      <vt:lpstr>PHY_CALIBRATION</vt:lpstr>
      <vt:lpstr>clock_init</vt:lpstr>
      <vt:lpstr>pinctrl_function</vt:lpstr>
      <vt:lpstr>pinctrl_ds_wpu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2021-09-09T08:05:26Z</dcterms:modified>
</cp:coreProperties>
</file>