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showObjects="none" filterPrivacy="1"/>
  <xr:revisionPtr revIDLastSave="0" documentId="13_ncr:1_{1234B7CA-7CE7-4904-B162-E58BA77ED19E}" xr6:coauthVersionLast="46" xr6:coauthVersionMax="46" xr10:uidLastSave="{00000000-0000-0000-0000-000000000000}"/>
  <bookViews>
    <workbookView xWindow="-110" yWindow="-110" windowWidth="19420" windowHeight="10420" tabRatio="902" activeTab="4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3" l="1"/>
  <c r="E91" i="2" l="1"/>
  <c r="B38" i="2"/>
  <c r="B29" i="2"/>
  <c r="E116" i="2" l="1"/>
  <c r="B54" i="2" l="1"/>
  <c r="B13" i="2"/>
  <c r="E5" i="30" l="1"/>
  <c r="E4" i="30"/>
  <c r="E200" i="2" l="1"/>
  <c r="E199" i="2"/>
  <c r="E198" i="2"/>
  <c r="E197" i="2"/>
  <c r="E166" i="2"/>
  <c r="E140" i="2"/>
  <c r="E139" i="2"/>
  <c r="E138" i="2"/>
  <c r="E134" i="2"/>
  <c r="E130" i="2"/>
  <c r="E129" i="2"/>
  <c r="E128" i="2"/>
  <c r="E123" i="2"/>
  <c r="E113" i="2"/>
  <c r="E109" i="2"/>
  <c r="E108" i="2"/>
  <c r="E107" i="2"/>
  <c r="E106" i="2"/>
  <c r="E103" i="2"/>
  <c r="E100" i="2"/>
  <c r="E97" i="2"/>
  <c r="E96" i="2"/>
  <c r="E95" i="2"/>
  <c r="E93" i="2"/>
  <c r="E92" i="2"/>
  <c r="E90" i="2"/>
  <c r="E88" i="2"/>
  <c r="E87" i="2"/>
  <c r="B45" i="2"/>
  <c r="E167" i="2"/>
  <c r="B51" i="2"/>
  <c r="E119" i="2" s="1"/>
  <c r="B50" i="2"/>
  <c r="E104" i="2" s="1"/>
  <c r="B49" i="2"/>
  <c r="E117" i="2" s="1"/>
  <c r="B48" i="2"/>
  <c r="E118" i="2" s="1"/>
  <c r="B44" i="2"/>
  <c r="E122" i="2" s="1"/>
  <c r="B42" i="2"/>
  <c r="E175" i="2" s="1"/>
  <c r="B41" i="2"/>
  <c r="E174" i="2" s="1"/>
  <c r="B40" i="2"/>
  <c r="E112" i="2" s="1"/>
  <c r="B39" i="2"/>
  <c r="E111" i="2" s="1"/>
  <c r="B46" i="2"/>
  <c r="E121" i="2" s="1"/>
  <c r="B36" i="2"/>
  <c r="E105" i="2" s="1"/>
  <c r="B35" i="2"/>
  <c r="E110" i="2" s="1"/>
  <c r="B34" i="2"/>
  <c r="E126" i="2" s="1"/>
  <c r="B33" i="2"/>
  <c r="E101" i="2" s="1"/>
  <c r="B32" i="2"/>
  <c r="E115" i="2" s="1"/>
  <c r="B31" i="2"/>
  <c r="E125" i="2" s="1"/>
  <c r="B30" i="2"/>
  <c r="E124" i="2" s="1"/>
  <c r="E114" i="2"/>
  <c r="B27" i="2"/>
  <c r="E102" i="2" s="1"/>
  <c r="B18" i="2"/>
  <c r="B17" i="2"/>
  <c r="B16" i="2"/>
  <c r="E27" i="3"/>
  <c r="E18" i="3"/>
  <c r="E17" i="3"/>
  <c r="B56" i="2" l="1"/>
  <c r="E8" i="23"/>
  <c r="B47" i="2"/>
  <c r="B57" i="2"/>
  <c r="E132" i="2" s="1"/>
  <c r="E120" i="2"/>
  <c r="E135" i="2"/>
  <c r="B19" i="2"/>
  <c r="B43" i="2"/>
</calcChain>
</file>

<file path=xl/sharedStrings.xml><?xml version="1.0" encoding="utf-8"?>
<sst xmlns="http://schemas.openxmlformats.org/spreadsheetml/2006/main" count="2083" uniqueCount="1147">
  <si>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</si>
  <si>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</si>
  <si>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</si>
  <si>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</si>
  <si>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</si>
  <si>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</si>
  <si>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</si>
  <si>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</si>
  <si>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</si>
  <si>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</si>
  <si>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</si>
  <si>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</si>
  <si>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</si>
  <si>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</si>
  <si>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</si>
  <si>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</si>
  <si>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</si>
  <si>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[5:0]</t>
    <phoneticPr fontId="1" type="noConversion"/>
  </si>
  <si>
    <t>[15:0]</t>
    <phoneticPr fontId="1" type="noConversion"/>
  </si>
  <si>
    <t>[23:16]</t>
    <phoneticPr fontId="1" type="noConversion"/>
  </si>
  <si>
    <t>[4:0]</t>
    <phoneticPr fontId="1" type="noConversion"/>
  </si>
  <si>
    <t>0x0</t>
    <phoneticPr fontId="1" type="noConversion"/>
  </si>
  <si>
    <t>0x1</t>
    <phoneticPr fontId="1" type="noConversion"/>
  </si>
  <si>
    <t>0x5</t>
    <phoneticPr fontId="1" type="noConversion"/>
  </si>
  <si>
    <t>[30:24]</t>
    <phoneticPr fontId="1" type="noConversion"/>
  </si>
  <si>
    <t>[20:16]</t>
    <phoneticPr fontId="1" type="noConversion"/>
  </si>
  <si>
    <t>0x2</t>
    <phoneticPr fontId="1" type="noConversion"/>
  </si>
  <si>
    <t>[7:0]</t>
    <phoneticPr fontId="1" type="noConversion"/>
  </si>
  <si>
    <t>ADDRMAP1</t>
    <phoneticPr fontId="1" type="noConversion"/>
  </si>
  <si>
    <t>0x0204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</si>
  <si>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</si>
  <si>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</si>
  <si>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</si>
  <si>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ADDRMAP3</t>
    <phoneticPr fontId="1" type="noConversion"/>
  </si>
  <si>
    <t>0x020C</t>
    <phoneticPr fontId="1" type="noConversion"/>
  </si>
  <si>
    <t>ADDRMAP4</t>
    <phoneticPr fontId="1" type="noConversion"/>
  </si>
  <si>
    <t>0x0210</t>
    <phoneticPr fontId="1" type="noConversion"/>
  </si>
  <si>
    <t>ADDRMAP5</t>
    <phoneticPr fontId="1" type="noConversion"/>
  </si>
  <si>
    <t>0x0214</t>
    <phoneticPr fontId="1" type="noConversion"/>
  </si>
  <si>
    <t>ADDRMAP6</t>
    <phoneticPr fontId="1" type="noConversion"/>
  </si>
  <si>
    <t>0x0218</t>
    <phoneticPr fontId="1" type="noConversion"/>
  </si>
  <si>
    <t>0xF</t>
    <phoneticPr fontId="1" type="noConversion"/>
  </si>
  <si>
    <t>0x0244</t>
    <phoneticPr fontId="1" type="noConversion"/>
  </si>
  <si>
    <t>[7:4]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</si>
  <si>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</si>
  <si>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</si>
  <si>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</si>
  <si>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</si>
  <si>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</si>
  <si>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</si>
  <si>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</si>
  <si>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</si>
  <si>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</si>
  <si>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</si>
  <si>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</si>
  <si>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</si>
  <si>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</si>
  <si>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</si>
  <si>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</si>
  <si>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</si>
  <si>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</si>
  <si>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</si>
  <si>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</si>
  <si>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</si>
  <si>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</si>
  <si>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</si>
  <si>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</si>
  <si>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</si>
  <si>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</si>
  <si>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</si>
  <si>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</si>
  <si>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</si>
  <si>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</si>
  <si>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</si>
  <si>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</si>
  <si>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</si>
  <si>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</si>
  <si>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</si>
  <si>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</si>
  <si>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</si>
  <si>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</si>
  <si>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</si>
  <si>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</si>
  <si>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</si>
  <si>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</si>
  <si>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</si>
  <si>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UMCTL2_MP</t>
    <phoneticPr fontId="1" type="noConversion"/>
  </si>
  <si>
    <t>[14]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</si>
  <si>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</si>
  <si>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</si>
  <si>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</si>
  <si>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</si>
  <si>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</si>
  <si>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</si>
  <si>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</si>
  <si>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[20]</t>
    <phoneticPr fontId="1" type="noConversion"/>
  </si>
  <si>
    <t>0x2C100000</t>
    <phoneticPr fontId="1" type="noConversion"/>
  </si>
  <si>
    <t>0x2C000000</t>
    <phoneticPr fontId="1" type="noConversion"/>
  </si>
  <si>
    <t>0x1388</t>
    <phoneticPr fontId="1" type="noConversion"/>
  </si>
  <si>
    <t>0xBB8</t>
    <phoneticPr fontId="1" type="noConversion"/>
  </si>
  <si>
    <t>0x00000000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</si>
  <si>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</si>
  <si>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</si>
  <si>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</si>
  <si>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</si>
  <si>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</si>
  <si>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</si>
  <si>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</si>
  <si>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</si>
  <si>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</si>
  <si>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</si>
  <si>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</si>
  <si>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</si>
  <si>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[11]</t>
    <phoneticPr fontId="1" type="noConversion"/>
  </si>
  <si>
    <t>0x3</t>
    <phoneticPr fontId="1" type="noConversion"/>
  </si>
  <si>
    <t>0x1</t>
    <phoneticPr fontId="1" type="noConversion"/>
  </si>
  <si>
    <t>ADDRMAP8</t>
    <phoneticPr fontId="1" type="noConversion"/>
  </si>
  <si>
    <t>0x0220</t>
    <phoneticPr fontId="1" type="noConversion"/>
  </si>
  <si>
    <t>0x021C</t>
    <phoneticPr fontId="1" type="noConversion"/>
  </si>
  <si>
    <t>ADDRMAP7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</si>
  <si>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</si>
  <si>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</si>
  <si>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</si>
  <si>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</si>
  <si>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</si>
  <si>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</si>
  <si>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</si>
  <si>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</si>
  <si>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</si>
  <si>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</si>
  <si>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</si>
  <si>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</si>
  <si>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</si>
  <si>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</si>
  <si>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</si>
  <si>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</si>
  <si>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</si>
  <si>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</si>
  <si>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</si>
  <si>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</si>
  <si>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</si>
  <si>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</si>
  <si>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</si>
  <si>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</si>
  <si>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</si>
  <si>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</si>
  <si>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</si>
  <si>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</si>
  <si>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[3:2]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</si>
  <si>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</si>
  <si>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</si>
  <si>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</si>
  <si>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</si>
  <si>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</si>
  <si>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</si>
  <si>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</si>
  <si>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</si>
  <si>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</si>
  <si>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</si>
  <si>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</si>
  <si>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</si>
  <si>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</si>
  <si>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</si>
  <si>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</si>
  <si>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</si>
  <si>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</si>
  <si>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</si>
  <si>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</si>
  <si>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</si>
  <si>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</si>
  <si>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</si>
  <si>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</si>
  <si>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</si>
  <si>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</si>
  <si>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</si>
  <si>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</si>
  <si>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</si>
  <si>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</si>
  <si>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</si>
  <si>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</si>
  <si>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</si>
  <si>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</si>
  <si>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RO</t>
    <phoneticPr fontId="1" type="noConversion"/>
  </si>
  <si>
    <t>DMC_SYS_APB_REG</t>
    <phoneticPr fontId="1" type="noConversion"/>
  </si>
  <si>
    <t>DDR_PHY_APB_SOFT_RST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</si>
  <si>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</si>
  <si>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</si>
  <si>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</si>
  <si>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</si>
  <si>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</si>
  <si>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</si>
  <si>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</si>
  <si>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</si>
  <si>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</si>
  <si>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</si>
  <si>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</si>
  <si>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</si>
  <si>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</si>
  <si>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</si>
  <si>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</si>
  <si>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</si>
  <si>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</si>
  <si>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</si>
  <si>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</si>
  <si>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</si>
  <si>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</si>
  <si>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</si>
  <si>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</si>
  <si>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</si>
  <si>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</si>
  <si>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</si>
  <si>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</si>
  <si>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</si>
  <si>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</si>
  <si>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</si>
  <si>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</si>
  <si>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</si>
  <si>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</si>
  <si>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</si>
  <si>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</si>
  <si>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</si>
  <si>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</si>
  <si>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</si>
  <si>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</si>
  <si>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</si>
  <si>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</si>
  <si>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</si>
  <si>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</si>
  <si>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</si>
  <si>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</si>
  <si>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</si>
  <si>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</si>
  <si>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</si>
  <si>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</si>
  <si>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</si>
  <si>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</si>
  <si>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</si>
  <si>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</si>
  <si>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</si>
  <si>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</si>
  <si>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</si>
  <si>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</si>
  <si>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</si>
  <si>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</si>
  <si>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</si>
  <si>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</si>
  <si>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</si>
  <si>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</si>
  <si>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</si>
  <si>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</si>
  <si>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</si>
  <si>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</si>
  <si>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</si>
  <si>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</si>
  <si>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</si>
  <si>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</si>
  <si>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</si>
  <si>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</si>
  <si>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</si>
  <si>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</si>
  <si>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</si>
  <si>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</si>
  <si>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</si>
  <si>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</si>
  <si>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</si>
  <si>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</si>
  <si>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</si>
  <si>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</si>
  <si>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</si>
  <si>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</si>
  <si>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</si>
  <si>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</si>
  <si>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</si>
  <si>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</si>
  <si>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</si>
  <si>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</si>
  <si>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</si>
  <si>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</si>
  <si>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</si>
  <si>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</si>
  <si>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</si>
  <si>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</si>
  <si>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</si>
  <si>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</si>
  <si>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</si>
  <si>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</si>
  <si>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</si>
  <si>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</si>
  <si>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</si>
  <si>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</si>
  <si>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</si>
  <si>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</si>
  <si>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</si>
  <si>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</si>
  <si>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</si>
  <si>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</si>
  <si>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</si>
  <si>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</si>
  <si>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</si>
  <si>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</si>
  <si>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</si>
  <si>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</si>
  <si>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</si>
  <si>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</si>
  <si>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</si>
  <si>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</si>
  <si>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CKG_DPLL_CNT_DOWN</t>
    <phoneticPr fontId="1" type="noConversion"/>
  </si>
  <si>
    <t>[11]</t>
    <phoneticPr fontId="1" type="noConversion"/>
  </si>
  <si>
    <t>RO</t>
    <phoneticPr fontId="1" type="noConversion"/>
  </si>
  <si>
    <t>select 640MHz as default</t>
    <phoneticPr fontId="1" type="noConversion"/>
  </si>
  <si>
    <t>0x2C200828</t>
    <phoneticPr fontId="1" type="noConversion"/>
  </si>
  <si>
    <t>0x2C2000C8</t>
  </si>
  <si>
    <t>SEL2</t>
  </si>
  <si>
    <t>[4:0]</t>
  </si>
  <si>
    <t>SEL3</t>
  </si>
  <si>
    <t>SEL4</t>
  </si>
  <si>
    <t>SEL5</t>
  </si>
  <si>
    <t>SEL6</t>
  </si>
  <si>
    <t>SEL7</t>
  </si>
  <si>
    <t>SEL8</t>
  </si>
  <si>
    <t>SEL9</t>
  </si>
  <si>
    <t>SEL10</t>
  </si>
  <si>
    <t>SEL11</t>
  </si>
  <si>
    <t>SEL12</t>
  </si>
  <si>
    <t>SEL13</t>
  </si>
  <si>
    <t>SEL14</t>
  </si>
  <si>
    <t>SEL15</t>
  </si>
  <si>
    <t>SEL16</t>
  </si>
  <si>
    <t>SEL17</t>
  </si>
  <si>
    <t>SEL18</t>
  </si>
  <si>
    <t>SEL19</t>
  </si>
  <si>
    <t>SEL20</t>
  </si>
  <si>
    <t>SEL21</t>
  </si>
  <si>
    <t>SEL22</t>
  </si>
  <si>
    <t>0x1</t>
  </si>
  <si>
    <t>PCFGR_0</t>
  </si>
  <si>
    <t>[16   ]</t>
  </si>
  <si>
    <t>0x0</t>
  </si>
  <si>
    <t>[14   ]</t>
  </si>
  <si>
    <t>[13   ]</t>
  </si>
  <si>
    <t>[12   ]</t>
  </si>
  <si>
    <t>[9:0  ]</t>
  </si>
  <si>
    <t>0x3ff</t>
  </si>
  <si>
    <t>PCFGR_1</t>
  </si>
  <si>
    <t>PCFGR_2</t>
  </si>
  <si>
    <t>PCFGR_3</t>
  </si>
  <si>
    <t>PCFGR_4</t>
  </si>
  <si>
    <t>PCFGR_7</t>
  </si>
  <si>
    <t>PCFGW_0</t>
  </si>
  <si>
    <t>PCFGW_1</t>
  </si>
  <si>
    <t>PCFGW_2</t>
  </si>
  <si>
    <t>PCFGW_3</t>
  </si>
  <si>
    <t>PCFGW_4</t>
  </si>
  <si>
    <t>PCFGW_7</t>
  </si>
  <si>
    <t>PCFGQOS0_0</t>
  </si>
  <si>
    <t>[25:24]</t>
  </si>
  <si>
    <t>0x2</t>
  </si>
  <si>
    <t>[21:20]</t>
  </si>
  <si>
    <t>[17:16]</t>
  </si>
  <si>
    <t>[15:8 ]</t>
  </si>
  <si>
    <t>0xe</t>
  </si>
  <si>
    <t>[7 :0 ]</t>
  </si>
  <si>
    <t>0xa</t>
  </si>
  <si>
    <t>PCFGQOS0_1</t>
  </si>
  <si>
    <t>PCFGQOS0_2</t>
  </si>
  <si>
    <t>PCFGQOS0_3</t>
  </si>
  <si>
    <t>PCFGQOS0_4</t>
  </si>
  <si>
    <t>PCFGQOS0_7</t>
  </si>
  <si>
    <t>PCFGQOS1_0</t>
  </si>
  <si>
    <t>[31:16]</t>
  </si>
  <si>
    <t>0x7ff</t>
  </si>
  <si>
    <t>[15:0 ]</t>
  </si>
  <si>
    <t>PCFGQOS1_1</t>
  </si>
  <si>
    <t>PCFGQOS1_2</t>
  </si>
  <si>
    <t>PCFGQOS1_3</t>
  </si>
  <si>
    <t>PCFGQOS1_4</t>
  </si>
  <si>
    <t>PCFGQOS1_7</t>
  </si>
  <si>
    <t>PCFGWQOS0_0</t>
  </si>
  <si>
    <t>PCFGWQOS0_1</t>
  </si>
  <si>
    <t>PCFGWQOS0_2</t>
  </si>
  <si>
    <t>PCFGWQOS0_3</t>
  </si>
  <si>
    <t>PCFGWQOS0_4</t>
  </si>
  <si>
    <t>PCFGWQOS0_7</t>
  </si>
  <si>
    <t>PCFGWQOS1_0</t>
  </si>
  <si>
    <t>PCFGWQOS1_1</t>
  </si>
  <si>
    <t>PCFGWQOS1_2</t>
  </si>
  <si>
    <t>PCFGWQOS1_3</t>
  </si>
  <si>
    <t>PCFGWQOS1_4</t>
  </si>
  <si>
    <t>PCFGWQOS1_7</t>
  </si>
  <si>
    <t>0x0404</t>
  </si>
  <si>
    <t>0x04b4</t>
  </si>
  <si>
    <t>0x0564</t>
  </si>
  <si>
    <t>0x0614</t>
  </si>
  <si>
    <t>0x06c4</t>
  </si>
  <si>
    <t>0x0774</t>
  </si>
  <si>
    <t>0x0824</t>
  </si>
  <si>
    <t>0x08d4</t>
  </si>
  <si>
    <t>0x0408</t>
  </si>
  <si>
    <t>0x04b8</t>
  </si>
  <si>
    <t>0x0568</t>
  </si>
  <si>
    <t>0x0618</t>
  </si>
  <si>
    <t>0x06c8</t>
  </si>
  <si>
    <t>0x0778</t>
  </si>
  <si>
    <t>0x0828</t>
  </si>
  <si>
    <t>0x08d8</t>
  </si>
  <si>
    <t>0x0494</t>
  </si>
  <si>
    <t>0x0544</t>
  </si>
  <si>
    <t>0x05f4</t>
  </si>
  <si>
    <t>0x06a4</t>
  </si>
  <si>
    <t>0x0754</t>
  </si>
  <si>
    <t>0x0804</t>
  </si>
  <si>
    <t>0x08b4</t>
  </si>
  <si>
    <t>0x0964</t>
  </si>
  <si>
    <t>0x0498</t>
  </si>
  <si>
    <t>0x0548</t>
  </si>
  <si>
    <t>0x05f8</t>
  </si>
  <si>
    <t>0x06a8</t>
  </si>
  <si>
    <t>0x0758</t>
  </si>
  <si>
    <t>0x0808</t>
  </si>
  <si>
    <t>0x08b8</t>
  </si>
  <si>
    <t>0x0968</t>
  </si>
  <si>
    <t>0x049c</t>
  </si>
  <si>
    <t>0x054c</t>
  </si>
  <si>
    <t>0x05fc</t>
  </si>
  <si>
    <t>0x06ac</t>
  </si>
  <si>
    <t>0x075c</t>
  </si>
  <si>
    <t>0x080c</t>
  </si>
  <si>
    <t>0x08bc</t>
  </si>
  <si>
    <t>0x096c</t>
  </si>
  <si>
    <t>0x04a0</t>
  </si>
  <si>
    <t>0x0550</t>
  </si>
  <si>
    <t>0x0600</t>
  </si>
  <si>
    <t>0x06b0</t>
  </si>
  <si>
    <t>0x0760</t>
  </si>
  <si>
    <t>0x0810</t>
  </si>
  <si>
    <t>0x08c0</t>
  </si>
  <si>
    <t>0x0970</t>
  </si>
  <si>
    <t>0x2c20000c</t>
  </si>
  <si>
    <t>[7:0]</t>
  </si>
  <si>
    <t>0x2c200010</t>
  </si>
  <si>
    <t>0x2c200008</t>
  </si>
  <si>
    <t>[2]</t>
  </si>
  <si>
    <t>0x2c200189</t>
  </si>
  <si>
    <t>[3:0]</t>
  </si>
  <si>
    <t>0xf</t>
  </si>
  <si>
    <t>[0]</t>
  </si>
  <si>
    <t>0x2c200185</t>
  </si>
  <si>
    <t>0x1f</t>
  </si>
  <si>
    <t>[5]</t>
  </si>
  <si>
    <t>[4]</t>
  </si>
  <si>
    <t>WL</t>
    <phoneticPr fontId="1" type="noConversion"/>
  </si>
  <si>
    <t>RTP</t>
    <phoneticPr fontId="1" type="noConversion"/>
  </si>
  <si>
    <t>tZQoper</t>
    <phoneticPr fontId="1" type="noConversion"/>
  </si>
  <si>
    <t>tXS_FAST</t>
    <phoneticPr fontId="1" type="noConversion"/>
  </si>
  <si>
    <t>tCKSRE</t>
    <phoneticPr fontId="1" type="noConversion"/>
  </si>
  <si>
    <t>tCKE</t>
    <phoneticPr fontId="1" type="noConversion"/>
  </si>
  <si>
    <t>tSTAB</t>
    <phoneticPr fontId="1" type="noConversion"/>
  </si>
  <si>
    <t>UMCTL2</t>
    <phoneticPr fontId="1" type="noConversion"/>
  </si>
  <si>
    <t>0x2C100000</t>
    <phoneticPr fontId="1" type="noConversion"/>
  </si>
  <si>
    <t>[31:30]</t>
    <phoneticPr fontId="1" type="noConversion"/>
  </si>
  <si>
    <t>[13:12]</t>
    <phoneticPr fontId="1" type="noConversion"/>
  </si>
  <si>
    <t>0x0</t>
    <phoneticPr fontId="1" type="noConversion"/>
  </si>
  <si>
    <t>[9]</t>
    <phoneticPr fontId="1" type="noConversion"/>
  </si>
  <si>
    <t>BURSTMODE</t>
    <phoneticPr fontId="1" type="noConversion"/>
  </si>
  <si>
    <t>[8]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</si>
  <si>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</si>
  <si>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</si>
  <si>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</si>
  <si>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[31]</t>
    <phoneticPr fontId="1" type="noConversion"/>
  </si>
  <si>
    <t>MR_ADDR</t>
    <phoneticPr fontId="1" type="noConversion"/>
  </si>
  <si>
    <t>PWRTMG</t>
    <phoneticPr fontId="1" type="noConversion"/>
  </si>
  <si>
    <t>HWLPCTL</t>
    <phoneticPr fontId="1" type="noConversion"/>
  </si>
  <si>
    <t>HW_LP_EXIT_IDLE_EN</t>
    <phoneticPr fontId="1" type="noConversion"/>
  </si>
  <si>
    <t>POST_CKE_X1024</t>
    <phoneticPr fontId="1" type="noConversion"/>
  </si>
  <si>
    <t>DRAM_RSTN_X1024</t>
    <phoneticPr fontId="1" type="noConversion"/>
  </si>
  <si>
    <t>[24:16]</t>
    <phoneticPr fontId="1" type="noConversion"/>
  </si>
  <si>
    <t>0x00E0</t>
    <phoneticPr fontId="1" type="noConversion"/>
  </si>
  <si>
    <t>INIT5</t>
    <phoneticPr fontId="1" type="noConversion"/>
  </si>
  <si>
    <t>0x00E8</t>
    <phoneticPr fontId="1" type="noConversion"/>
  </si>
  <si>
    <t>[13:8]</t>
    <phoneticPr fontId="1" type="noConversion"/>
  </si>
  <si>
    <t>DFI_ERR_INT_EN</t>
    <phoneticPr fontId="1" type="noConversion"/>
  </si>
  <si>
    <t>[4]</t>
    <phoneticPr fontId="1" type="noConversion"/>
  </si>
  <si>
    <t>DIS_HIF</t>
    <phoneticPr fontId="1" type="noConversion"/>
  </si>
  <si>
    <t>PORT_EN</t>
    <phoneticPr fontId="1" type="noConversion"/>
  </si>
  <si>
    <t>PCTRL_3</t>
  </si>
  <si>
    <t>PCTRL_4</t>
  </si>
  <si>
    <t>ADDRMAP_BANK_B2</t>
    <phoneticPr fontId="1" type="noConversion"/>
  </si>
  <si>
    <t>[21:16]</t>
    <phoneticPr fontId="1" type="noConversion"/>
  </si>
  <si>
    <t>0x1F</t>
    <phoneticPr fontId="1" type="noConversion"/>
  </si>
  <si>
    <t>ADDRMAP_BANK_B1</t>
    <phoneticPr fontId="1" type="noConversion"/>
  </si>
  <si>
    <t>0x9</t>
    <phoneticPr fontId="1" type="noConversion"/>
  </si>
  <si>
    <t>ADDRMAP_BANK_B0</t>
    <phoneticPr fontId="1" type="noConversion"/>
  </si>
  <si>
    <t>ADDRMAP_COL_B4</t>
    <phoneticPr fontId="1" type="noConversion"/>
  </si>
  <si>
    <t>[19:16]</t>
    <phoneticPr fontId="1" type="noConversion"/>
  </si>
  <si>
    <t>0x1</t>
    <phoneticPr fontId="1" type="noConversion"/>
  </si>
  <si>
    <t>ADDRMAP_COL_B3</t>
    <phoneticPr fontId="1" type="noConversion"/>
  </si>
  <si>
    <t>[12:8]</t>
    <phoneticPr fontId="1" type="noConversion"/>
  </si>
  <si>
    <t>ADDRMAP_COL_B2</t>
    <phoneticPr fontId="1" type="noConversion"/>
  </si>
  <si>
    <t>[3:0]</t>
    <phoneticPr fontId="1" type="noConversion"/>
  </si>
  <si>
    <t>0x0</t>
    <phoneticPr fontId="1" type="noConversion"/>
  </si>
  <si>
    <t>ADDRMAP_COL_B9</t>
    <phoneticPr fontId="1" type="noConversion"/>
  </si>
  <si>
    <t>[28:24]</t>
    <phoneticPr fontId="1" type="noConversion"/>
  </si>
  <si>
    <t>ADDRMAP_COL_B8</t>
    <phoneticPr fontId="1" type="noConversion"/>
  </si>
  <si>
    <t>[20:16]</t>
    <phoneticPr fontId="1" type="noConversion"/>
  </si>
  <si>
    <t>0x1</t>
    <phoneticPr fontId="1" type="noConversion"/>
  </si>
  <si>
    <t>ADDRMAP_COL_B7</t>
    <phoneticPr fontId="1" type="noConversion"/>
  </si>
  <si>
    <t>[12:8]</t>
    <phoneticPr fontId="1" type="noConversion"/>
  </si>
  <si>
    <t>ADDRMAP_COL_B6</t>
    <phoneticPr fontId="1" type="noConversion"/>
  </si>
  <si>
    <t>[4:0]</t>
    <phoneticPr fontId="1" type="noConversion"/>
  </si>
  <si>
    <t>ADDRMAP_COL_B11</t>
    <phoneticPr fontId="1" type="noConversion"/>
  </si>
  <si>
    <t>[12:8]</t>
    <phoneticPr fontId="1" type="noConversion"/>
  </si>
  <si>
    <t>ADDRMAP_COL_B10</t>
    <phoneticPr fontId="1" type="noConversion"/>
  </si>
  <si>
    <t>ADDRMAP_ROW_B11</t>
    <phoneticPr fontId="1" type="noConversion"/>
  </si>
  <si>
    <t>[27:24]</t>
    <phoneticPr fontId="1" type="noConversion"/>
  </si>
  <si>
    <t>0x7</t>
    <phoneticPr fontId="1" type="noConversion"/>
  </si>
  <si>
    <t>0x7</t>
    <phoneticPr fontId="1" type="noConversion"/>
  </si>
  <si>
    <t>ADDRMAP_ROW_B2_B10</t>
    <phoneticPr fontId="1" type="noConversion"/>
  </si>
  <si>
    <t>[19:16]</t>
    <phoneticPr fontId="1" type="noConversion"/>
  </si>
  <si>
    <t>0x7</t>
    <phoneticPr fontId="1" type="noConversion"/>
  </si>
  <si>
    <t>ADDRMAP_ROW_B1</t>
    <phoneticPr fontId="1" type="noConversion"/>
  </si>
  <si>
    <t>[11:8]</t>
    <phoneticPr fontId="1" type="noConversion"/>
  </si>
  <si>
    <t>ADDRMAP_ROW_B0</t>
    <phoneticPr fontId="1" type="noConversion"/>
  </si>
  <si>
    <t>[3:0]</t>
    <phoneticPr fontId="1" type="noConversion"/>
  </si>
  <si>
    <t>ADDRMAP_ROW_B15</t>
    <phoneticPr fontId="1" type="noConversion"/>
  </si>
  <si>
    <t>[27:24]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</si>
  <si>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</si>
  <si>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</si>
  <si>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</si>
  <si>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ADDRMAP_ROW_B17</t>
    <phoneticPr fontId="1" type="noConversion"/>
  </si>
  <si>
    <t>ADDRMAP_ROW_B16</t>
    <phoneticPr fontId="1" type="noConversion"/>
  </si>
  <si>
    <t>ADDRMAP_BG_B1</t>
    <phoneticPr fontId="1" type="noConversion"/>
  </si>
  <si>
    <t>[13:8]</t>
    <phoneticPr fontId="1" type="noConversion"/>
  </si>
  <si>
    <t>0x3F</t>
    <phoneticPr fontId="1" type="noConversion"/>
  </si>
  <si>
    <t>ADDRMAP_BG_B0</t>
    <phoneticPr fontId="1" type="noConversion"/>
  </si>
  <si>
    <t>[5:0]</t>
    <phoneticPr fontId="1" type="noConversion"/>
  </si>
  <si>
    <t>DDR data rate (Mbps)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</si>
  <si>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</si>
  <si>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</si>
  <si>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</si>
  <si>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</si>
  <si>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0x200</t>
    <phoneticPr fontId="1" type="noConversion"/>
  </si>
  <si>
    <t>MR4</t>
    <phoneticPr fontId="1" type="noConversion"/>
  </si>
  <si>
    <t>MR4</t>
    <phoneticPr fontId="1" type="noConversion"/>
  </si>
  <si>
    <t>0x0</t>
    <phoneticPr fontId="1" type="noConversion"/>
  </si>
  <si>
    <t>MR5</t>
    <phoneticPr fontId="1" type="noConversion"/>
  </si>
  <si>
    <t>MR5</t>
    <phoneticPr fontId="1" type="noConversion"/>
  </si>
  <si>
    <t>MR6</t>
    <phoneticPr fontId="1" type="noConversion"/>
  </si>
  <si>
    <t>AL</t>
    <phoneticPr fontId="1" type="noConversion"/>
  </si>
  <si>
    <t>PL</t>
    <phoneticPr fontId="1" type="noConversion"/>
  </si>
  <si>
    <t>CL</t>
    <phoneticPr fontId="1" type="noConversion"/>
  </si>
  <si>
    <t>CL_DBI</t>
    <phoneticPr fontId="1" type="noConversion"/>
  </si>
  <si>
    <t>CWL</t>
    <phoneticPr fontId="1" type="noConversion"/>
  </si>
  <si>
    <t>BL</t>
    <phoneticPr fontId="1" type="noConversion"/>
  </si>
  <si>
    <t>RL</t>
    <phoneticPr fontId="1" type="noConversion"/>
  </si>
  <si>
    <t>WR</t>
    <phoneticPr fontId="1" type="noConversion"/>
  </si>
  <si>
    <t>tREFI</t>
    <phoneticPr fontId="1" type="noConversion"/>
  </si>
  <si>
    <t>RD_Preamble</t>
    <phoneticPr fontId="1" type="noConversion"/>
  </si>
  <si>
    <t>WR_Preamble</t>
    <phoneticPr fontId="1" type="noConversion"/>
  </si>
  <si>
    <t>DRAM_RESET_ASSERT</t>
    <phoneticPr fontId="1" type="noConversion"/>
  </si>
  <si>
    <t>tRCD</t>
    <phoneticPr fontId="1" type="noConversion"/>
  </si>
  <si>
    <t>tRP</t>
    <phoneticPr fontId="1" type="noConversion"/>
  </si>
  <si>
    <t>tRAS_min</t>
    <phoneticPr fontId="1" type="noConversion"/>
  </si>
  <si>
    <t>tRAS_max</t>
    <phoneticPr fontId="1" type="noConversion"/>
  </si>
  <si>
    <t>tRC</t>
    <phoneticPr fontId="1" type="noConversion"/>
  </si>
  <si>
    <t>tCCD_L</t>
    <phoneticPr fontId="1" type="noConversion"/>
  </si>
  <si>
    <t>tCCD_S</t>
    <phoneticPr fontId="1" type="noConversion"/>
  </si>
  <si>
    <t>tRRD_S(2K)</t>
    <phoneticPr fontId="1" type="noConversion"/>
  </si>
  <si>
    <t>tRRD_L(2K)</t>
    <phoneticPr fontId="1" type="noConversion"/>
  </si>
  <si>
    <t>tFAW_2K</t>
    <phoneticPr fontId="1" type="noConversion"/>
  </si>
  <si>
    <t>tWTR_S</t>
    <phoneticPr fontId="1" type="noConversion"/>
  </si>
  <si>
    <t>tWTR_L</t>
    <phoneticPr fontId="1" type="noConversion"/>
  </si>
  <si>
    <t>tRTP</t>
    <phoneticPr fontId="1" type="noConversion"/>
  </si>
  <si>
    <t>tWR</t>
    <phoneticPr fontId="1" type="noConversion"/>
  </si>
  <si>
    <t>tDLLK</t>
    <phoneticPr fontId="1" type="noConversion"/>
  </si>
  <si>
    <t>tMRD</t>
    <phoneticPr fontId="1" type="noConversion"/>
  </si>
  <si>
    <t>tMOD</t>
    <phoneticPr fontId="1" type="noConversion"/>
  </si>
  <si>
    <t>tZQCS</t>
    <phoneticPr fontId="1" type="noConversion"/>
  </si>
  <si>
    <t>tXPR</t>
    <phoneticPr fontId="1" type="noConversion"/>
  </si>
  <si>
    <t>tXS</t>
    <phoneticPr fontId="1" type="noConversion"/>
  </si>
  <si>
    <t>tXS_DLL</t>
    <phoneticPr fontId="1" type="noConversion"/>
  </si>
  <si>
    <t>tCKESR</t>
    <phoneticPr fontId="1" type="noConversion"/>
  </si>
  <si>
    <t>tCKSRX</t>
    <phoneticPr fontId="1" type="noConversion"/>
  </si>
  <si>
    <t>tXP</t>
    <phoneticPr fontId="1" type="noConversion"/>
  </si>
  <si>
    <t>tRFC_min</t>
    <phoneticPr fontId="1" type="noConversion"/>
  </si>
  <si>
    <t>tRFC2_min</t>
    <phoneticPr fontId="1" type="noConversion"/>
  </si>
  <si>
    <t>tRFC4_min</t>
    <phoneticPr fontId="1" type="noConversion"/>
  </si>
  <si>
    <t>dfi_tphy_wrlat</t>
    <phoneticPr fontId="1" type="noConversion"/>
  </si>
  <si>
    <t>dfi_t_rddata_en</t>
    <phoneticPr fontId="1" type="noConversion"/>
  </si>
  <si>
    <t>dfi_t_ctrl_delay</t>
    <phoneticPr fontId="1" type="noConversion"/>
  </si>
  <si>
    <t>dfi_t_phy_wrdata</t>
    <phoneticPr fontId="1" type="noConversion"/>
  </si>
  <si>
    <t>dfi_t_phy_rdlat</t>
    <phoneticPr fontId="1" type="noConversion"/>
  </si>
  <si>
    <t>dfi_t_wdata_delay</t>
    <phoneticPr fontId="1" type="noConversion"/>
  </si>
  <si>
    <t>dfi_t_dram_clk_disable</t>
    <phoneticPr fontId="1" type="noConversion"/>
  </si>
  <si>
    <t>dfi_t_dram_clk_enable</t>
    <phoneticPr fontId="1" type="noConversion"/>
  </si>
  <si>
    <t>Module Name</t>
    <phoneticPr fontId="1" type="noConversion"/>
  </si>
  <si>
    <t>Base Address</t>
    <phoneticPr fontId="1" type="noConversion"/>
  </si>
  <si>
    <t>Offset Address</t>
    <phoneticPr fontId="1" type="noConversion"/>
  </si>
  <si>
    <t>Bits Name</t>
    <phoneticPr fontId="1" type="noConversion"/>
  </si>
  <si>
    <t>Bits Pos</t>
    <phoneticPr fontId="1" type="noConversion"/>
  </si>
  <si>
    <t>Register Value</t>
    <phoneticPr fontId="1" type="noConversion"/>
  </si>
  <si>
    <t>MSTR</t>
    <phoneticPr fontId="1" type="noConversion"/>
  </si>
  <si>
    <t>0x0000</t>
    <phoneticPr fontId="1" type="noConversion"/>
  </si>
  <si>
    <t>DEVICE_CONFIG</t>
    <phoneticPr fontId="1" type="noConversion"/>
  </si>
  <si>
    <t>0x3</t>
    <phoneticPr fontId="1" type="noConversion"/>
  </si>
  <si>
    <t>BURST_RDWR</t>
    <phoneticPr fontId="1" type="noConversion"/>
  </si>
  <si>
    <t>[19:16]</t>
    <phoneticPr fontId="1" type="noConversion"/>
  </si>
  <si>
    <t>0x4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</si>
  <si>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</si>
  <si>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</si>
  <si>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</si>
  <si>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GEARDWON_MODE</t>
    <phoneticPr fontId="1" type="noConversion"/>
  </si>
  <si>
    <t>EN_2T_TIMING_MODE</t>
    <phoneticPr fontId="1" type="noConversion"/>
  </si>
  <si>
    <t>[10]</t>
    <phoneticPr fontId="1" type="noConversion"/>
  </si>
  <si>
    <t>0x1</t>
    <phoneticPr fontId="1" type="noConversion"/>
  </si>
  <si>
    <t>BURSTCHOP</t>
    <phoneticPr fontId="1" type="noConversion"/>
  </si>
  <si>
    <t>DDR_TYPE</t>
    <phoneticPr fontId="1" type="noConversion"/>
  </si>
  <si>
    <t>[5:0]</t>
    <phoneticPr fontId="1" type="noConversion"/>
  </si>
  <si>
    <t>0x10</t>
    <phoneticPr fontId="1" type="noConversion"/>
  </si>
  <si>
    <t>MR_WR</t>
    <phoneticPr fontId="1" type="noConversion"/>
  </si>
  <si>
    <t>[31]</t>
    <phoneticPr fontId="1" type="noConversion"/>
  </si>
  <si>
    <t>[15:12]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</si>
  <si>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</si>
  <si>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</si>
  <si>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</si>
  <si>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</si>
  <si>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</si>
  <si>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</si>
  <si>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</si>
  <si>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</si>
  <si>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</si>
  <si>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</si>
  <si>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</si>
  <si>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</si>
  <si>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</si>
  <si>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</si>
  <si>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0x125</t>
    <phoneticPr fontId="1" type="noConversion"/>
  </si>
  <si>
    <t>HW_LP_EN</t>
    <phoneticPr fontId="1" type="noConversion"/>
  </si>
  <si>
    <t>0x1</t>
    <phoneticPr fontId="1" type="noConversion"/>
  </si>
  <si>
    <t>INIT0</t>
    <phoneticPr fontId="1" type="noConversion"/>
  </si>
  <si>
    <t>0x00D0</t>
    <phoneticPr fontId="1" type="noConversion"/>
  </si>
  <si>
    <t>SKIP_DRAM_INIT</t>
    <phoneticPr fontId="1" type="noConversion"/>
  </si>
  <si>
    <t>[31:30]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</si>
  <si>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</si>
  <si>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</si>
  <si>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</si>
  <si>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INIT1</t>
    <phoneticPr fontId="1" type="noConversion"/>
  </si>
  <si>
    <t>0x00D4</t>
    <phoneticPr fontId="1" type="noConversion"/>
  </si>
  <si>
    <t>PRE_OCD_X32</t>
    <phoneticPr fontId="1" type="noConversion"/>
  </si>
  <si>
    <t>[3:0]</t>
    <phoneticPr fontId="1" type="noConversion"/>
  </si>
  <si>
    <t>0x0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</si>
  <si>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</si>
  <si>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</si>
  <si>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</si>
  <si>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</si>
  <si>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</si>
  <si>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[15:0]</t>
    <phoneticPr fontId="1" type="noConversion"/>
  </si>
  <si>
    <t>INIT4</t>
    <phoneticPr fontId="1" type="noConversion"/>
  </si>
  <si>
    <t>EMR2</t>
    <phoneticPr fontId="1" type="noConversion"/>
  </si>
  <si>
    <t>[31:16]</t>
    <phoneticPr fontId="1" type="noConversion"/>
  </si>
  <si>
    <t>EMR3</t>
    <phoneticPr fontId="1" type="noConversion"/>
  </si>
  <si>
    <t>0x00E4</t>
    <phoneticPr fontId="1" type="noConversion"/>
  </si>
  <si>
    <t>DEV_ZQINIT_X32</t>
    <phoneticPr fontId="1" type="noConversion"/>
  </si>
  <si>
    <t>INIT6</t>
    <phoneticPr fontId="1" type="noConversion"/>
  </si>
  <si>
    <t>INIT7</t>
    <phoneticPr fontId="1" type="noConversion"/>
  </si>
  <si>
    <t>0x00EC</t>
    <phoneticPr fontId="1" type="noConversion"/>
  </si>
  <si>
    <t>[15:0]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</si>
  <si>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</si>
  <si>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</si>
  <si>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</si>
  <si>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</si>
  <si>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</si>
  <si>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</si>
  <si>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</si>
  <si>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</si>
  <si>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</si>
  <si>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</si>
  <si>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</si>
  <si>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</si>
  <si>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</si>
  <si>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</si>
  <si>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T_RAS_MIN</t>
    <phoneticPr fontId="1" type="noConversion"/>
  </si>
  <si>
    <t>[5:0]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</si>
  <si>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</si>
  <si>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</si>
  <si>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</si>
  <si>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RD2PRE</t>
    <phoneticPr fontId="1" type="noConversion"/>
  </si>
  <si>
    <t>[13:8]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</si>
  <si>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</si>
  <si>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</si>
  <si>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</si>
  <si>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</si>
  <si>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</si>
  <si>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</si>
  <si>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</si>
  <si>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RD2WR</t>
    <phoneticPr fontId="1" type="noConversion"/>
  </si>
  <si>
    <t>WR2RD</t>
    <phoneticPr fontId="1" type="noConversion"/>
  </si>
  <si>
    <t>DRAMTMG3</t>
    <phoneticPr fontId="1" type="noConversion"/>
  </si>
  <si>
    <t>0x010C</t>
    <phoneticPr fontId="1" type="noConversion"/>
  </si>
  <si>
    <t>T_MRD</t>
    <phoneticPr fontId="1" type="noConversion"/>
  </si>
  <si>
    <t>[17:12]</t>
    <phoneticPr fontId="1" type="noConversion"/>
  </si>
  <si>
    <t>T_MOD</t>
    <phoneticPr fontId="1" type="noConversion"/>
  </si>
  <si>
    <t>[9:0]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</si>
  <si>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</si>
  <si>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</si>
  <si>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</si>
  <si>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</si>
  <si>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T_CCD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</si>
  <si>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</si>
  <si>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</si>
  <si>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</si>
  <si>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</si>
  <si>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</si>
  <si>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</si>
  <si>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</si>
  <si>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</si>
  <si>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</si>
  <si>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</si>
  <si>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</si>
  <si>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</si>
  <si>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</si>
  <si>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</si>
  <si>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</si>
  <si>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</si>
  <si>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</si>
  <si>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</si>
  <si>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[30]</t>
    <phoneticPr fontId="1" type="noConversion"/>
  </si>
  <si>
    <t>T_CCD_S</t>
    <phoneticPr fontId="1" type="noConversion"/>
  </si>
  <si>
    <t>T_RRD_S</t>
    <phoneticPr fontId="1" type="noConversion"/>
  </si>
  <si>
    <t>WR2RD_S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</si>
  <si>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</si>
  <si>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</si>
  <si>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</si>
  <si>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</si>
  <si>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</si>
  <si>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</si>
  <si>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</si>
  <si>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</si>
  <si>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</si>
  <si>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</si>
  <si>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</si>
  <si>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</si>
  <si>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DFI_RDDATA_USE_DFI_PHY_CLK</t>
    <phoneticPr fontId="1" type="noConversion"/>
  </si>
  <si>
    <t>[23]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</si>
  <si>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</si>
  <si>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</si>
  <si>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</si>
  <si>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</si>
  <si>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</si>
  <si>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</si>
  <si>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</si>
  <si>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</si>
  <si>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DFI_T_CMD_LAT</t>
    <phoneticPr fontId="1" type="noConversion"/>
  </si>
  <si>
    <t>[31:28]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</si>
  <si>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</si>
  <si>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</si>
  <si>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</si>
  <si>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[20:16]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</si>
  <si>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</si>
  <si>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</si>
  <si>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</si>
  <si>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DFILPCFG0</t>
    <phoneticPr fontId="1" type="noConversion"/>
  </si>
  <si>
    <t>0x0198</t>
    <phoneticPr fontId="1" type="noConversion"/>
  </si>
  <si>
    <t>DFI_TLP_RESP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</si>
  <si>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</si>
  <si>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</si>
  <si>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</si>
  <si>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</si>
  <si>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</si>
  <si>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</si>
  <si>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</si>
  <si>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</si>
  <si>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</si>
  <si>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</si>
  <si>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</si>
  <si>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</si>
  <si>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</si>
  <si>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</si>
  <si>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</si>
  <si>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</si>
  <si>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</si>
  <si>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</si>
  <si>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</si>
  <si>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</si>
  <si>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</si>
  <si>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</si>
  <si>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</si>
  <si>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0x2E</t>
    <phoneticPr fontId="1" type="noConversion"/>
  </si>
  <si>
    <t>DFI_T_CTRLUPD_INTERVAL_MAX_X1024</t>
    <phoneticPr fontId="1" type="noConversion"/>
  </si>
  <si>
    <t>0xC4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</si>
  <si>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</si>
  <si>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</si>
  <si>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</si>
  <si>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MR_DATA</t>
    <phoneticPr fontId="1" type="noConversion"/>
  </si>
  <si>
    <t>0x6CDA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</si>
  <si>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</si>
  <si>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</si>
  <si>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</si>
  <si>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</si>
  <si>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</si>
  <si>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</si>
  <si>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</si>
  <si>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</si>
  <si>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</si>
  <si>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</si>
  <si>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</si>
  <si>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</si>
  <si>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</si>
  <si>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</si>
  <si>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</si>
  <si>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0x11</t>
    <phoneticPr fontId="1" type="noConversion"/>
  </si>
  <si>
    <t>REFRESH_BURST</t>
    <phoneticPr fontId="1" type="noConversion"/>
  </si>
  <si>
    <t>[9:4]</t>
    <phoneticPr fontId="1" type="noConversion"/>
  </si>
  <si>
    <t>PER_BANK_REFRESH</t>
    <phoneticPr fontId="1" type="noConversion"/>
  </si>
  <si>
    <t>[2]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</si>
  <si>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</si>
  <si>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</si>
  <si>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</si>
  <si>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</si>
  <si>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</si>
  <si>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</si>
  <si>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</si>
  <si>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T_RFC_MIN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</si>
  <si>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</si>
  <si>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</si>
  <si>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</si>
  <si>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DFI_ALERT_ERR_INT_CLR</t>
    <phoneticPr fontId="1" type="noConversion"/>
  </si>
  <si>
    <t>ZQCTL0</t>
    <phoneticPr fontId="1" type="noConversion"/>
  </si>
  <si>
    <t>0x0180</t>
    <phoneticPr fontId="1" type="noConversion"/>
  </si>
  <si>
    <t>DIS_AUTO_ZQ</t>
    <phoneticPr fontId="1" type="noConversion"/>
  </si>
  <si>
    <t>DIS_SRX_ZQCL</t>
    <phoneticPr fontId="1" type="noConversion"/>
  </si>
  <si>
    <t>ZQ_RESISTOR_SHARED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</si>
  <si>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</si>
  <si>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</si>
  <si>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</si>
  <si>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[7:4]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</si>
  <si>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</si>
  <si>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</si>
  <si>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</si>
  <si>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DFI_INIT_START</t>
    <phoneticPr fontId="1" type="noConversion"/>
  </si>
  <si>
    <t>CTL_IDLE_EN</t>
    <phoneticPr fontId="1" type="noConversion"/>
  </si>
  <si>
    <t>[4]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</si>
  <si>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</si>
  <si>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</si>
  <si>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</si>
  <si>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</si>
  <si>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</si>
  <si>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</si>
  <si>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</si>
  <si>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</si>
  <si>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</si>
  <si>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</si>
  <si>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</si>
  <si>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</si>
  <si>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</si>
  <si>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</si>
  <si>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</si>
  <si>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</si>
  <si>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</si>
  <si>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</si>
  <si>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</si>
  <si>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</si>
  <si>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</si>
  <si>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</si>
  <si>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</si>
  <si>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</si>
  <si>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</si>
  <si>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</si>
  <si>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</si>
  <si>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</si>
  <si>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</si>
  <si>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</si>
  <si>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</si>
  <si>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RANK0_RD_ODT</t>
    <phoneticPr fontId="1" type="noConversion"/>
  </si>
  <si>
    <t>RANK0_WR_ODT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</si>
  <si>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</si>
  <si>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</si>
  <si>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</si>
  <si>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</si>
  <si>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</si>
  <si>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</si>
  <si>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</si>
  <si>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</si>
  <si>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</si>
  <si>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PCTRL_5</t>
    <phoneticPr fontId="1" type="noConversion"/>
  </si>
  <si>
    <t>0x0800</t>
    <phoneticPr fontId="1" type="noConversion"/>
  </si>
  <si>
    <t>PCTRL_6</t>
    <phoneticPr fontId="1" type="noConversion"/>
  </si>
  <si>
    <t>0x08B0</t>
    <phoneticPr fontId="1" type="noConversion"/>
  </si>
  <si>
    <t>PCTRL_7</t>
    <phoneticPr fontId="1" type="noConversion"/>
  </si>
  <si>
    <t>0x0960</t>
    <phoneticPr fontId="1" type="noConversion"/>
  </si>
  <si>
    <t>0xF</t>
    <phoneticPr fontId="1" type="noConversion"/>
  </si>
  <si>
    <t>0x4</t>
    <phoneticPr fontId="1" type="noConversion"/>
  </si>
  <si>
    <t>mr1_low</t>
    <phoneticPr fontId="1" type="noConversion"/>
  </si>
  <si>
    <t>MR1_LOW</t>
    <phoneticPr fontId="1" type="noConversion"/>
  </si>
  <si>
    <t>MR1_HIGH</t>
    <phoneticPr fontId="1" type="noConversion"/>
  </si>
  <si>
    <t>mr1_high</t>
    <phoneticPr fontId="1" type="noConversion"/>
  </si>
  <si>
    <t>WR_LVL</t>
    <phoneticPr fontId="1" type="noConversion"/>
  </si>
  <si>
    <t>begin_wr_lvl</t>
    <phoneticPr fontId="1" type="noConversion"/>
  </si>
  <si>
    <t>WR_LVL_COMPLETE_FLAG</t>
    <phoneticPr fontId="1" type="noConversion"/>
  </si>
  <si>
    <t>wr_lvl_complete_flag</t>
    <phoneticPr fontId="1" type="noConversion"/>
  </si>
  <si>
    <t>WR_LVL</t>
    <phoneticPr fontId="1" type="noConversion"/>
  </si>
  <si>
    <t>RD_CALIB</t>
    <phoneticPr fontId="1" type="noConversion"/>
  </si>
  <si>
    <t>begin_calib</t>
    <phoneticPr fontId="1" type="noConversion"/>
  </si>
  <si>
    <t>rd_calib_complete_flag</t>
    <phoneticPr fontId="1" type="noConversion"/>
  </si>
  <si>
    <t>wr_lvl_cs_sel</t>
    <phoneticPr fontId="1" type="noConversion"/>
  </si>
  <si>
    <t>[7:6]</t>
    <phoneticPr fontId="1" type="noConversion"/>
  </si>
  <si>
    <t>0x2</t>
    <phoneticPr fontId="1" type="noConversion"/>
  </si>
  <si>
    <t>0x2c200008</t>
    <phoneticPr fontId="1" type="noConversion"/>
  </si>
  <si>
    <t>0x0</t>
    <phoneticPr fontId="1" type="noConversion"/>
  </si>
  <si>
    <t>rd_calib_cs_sel</t>
    <phoneticPr fontId="1" type="noConversion"/>
  </si>
  <si>
    <t>[5:4]</t>
    <phoneticPr fontId="1" type="noConversion"/>
  </si>
  <si>
    <t>0x0</t>
    <phoneticPr fontId="1" type="noConversion"/>
  </si>
  <si>
    <t>PHY_LOAD_MODE3</t>
    <phoneticPr fontId="1" type="noConversion"/>
  </si>
  <si>
    <t>0x2C200060</t>
    <phoneticPr fontId="1" type="noConversion"/>
  </si>
  <si>
    <t>CMD_2T_EN</t>
    <phoneticPr fontId="1" type="noConversion"/>
  </si>
  <si>
    <t>[1]</t>
    <phoneticPr fontId="1" type="noConversion"/>
  </si>
  <si>
    <t>0x1</t>
    <phoneticPr fontId="1" type="noConversion"/>
  </si>
  <si>
    <t>0x2c200054</t>
    <phoneticPr fontId="1" type="noConversion"/>
  </si>
  <si>
    <t>read_preamble_training_mode</t>
    <phoneticPr fontId="1" type="noConversion"/>
  </si>
  <si>
    <t>[1]</t>
    <phoneticPr fontId="1" type="noConversion"/>
  </si>
  <si>
    <t>0x2c200390</t>
    <phoneticPr fontId="1" type="noConversion"/>
  </si>
  <si>
    <t>a_channel_left_dqs_pd</t>
    <phoneticPr fontId="1" type="noConversion"/>
  </si>
  <si>
    <t>[1:0]</t>
    <phoneticPr fontId="1" type="noConversion"/>
  </si>
  <si>
    <t>a_channel_right_dqs_pd</t>
    <phoneticPr fontId="1" type="noConversion"/>
  </si>
  <si>
    <t>0x2c2003d0</t>
    <phoneticPr fontId="1" type="noConversion"/>
  </si>
  <si>
    <t>0x2c200410</t>
    <phoneticPr fontId="1" type="noConversion"/>
  </si>
  <si>
    <t>b_channel_left_dqs_pd</t>
    <phoneticPr fontId="1" type="noConversion"/>
  </si>
  <si>
    <t>0x2c200450</t>
    <phoneticPr fontId="1" type="noConversion"/>
  </si>
  <si>
    <t>b_channel_right_dqs_pd</t>
    <phoneticPr fontId="1" type="noConversion"/>
  </si>
  <si>
    <t>0x2</t>
    <phoneticPr fontId="1" type="noConversion"/>
  </si>
  <si>
    <t>0x400</t>
    <phoneticPr fontId="1" type="noConversion"/>
  </si>
  <si>
    <t>0x800</t>
    <phoneticPr fontId="1" type="noConversion"/>
  </si>
  <si>
    <t>0x11</t>
    <phoneticPr fontId="1" type="noConversion"/>
  </si>
  <si>
    <t>0x10</t>
    <phoneticPr fontId="1" type="noConversion"/>
  </si>
  <si>
    <t>DQ_SWAP</t>
    <phoneticPr fontId="1" type="noConversion"/>
  </si>
  <si>
    <t>0x2C20082C</t>
    <phoneticPr fontId="1" type="noConversion"/>
  </si>
  <si>
    <t>0x2C200834</t>
    <phoneticPr fontId="1" type="noConversion"/>
  </si>
  <si>
    <t>0x2C200A28</t>
    <phoneticPr fontId="1" type="noConversion"/>
  </si>
  <si>
    <t>0x2C200A2C</t>
    <phoneticPr fontId="1" type="noConversion"/>
  </si>
  <si>
    <t>0x1</t>
    <phoneticPr fontId="1" type="noConversion"/>
  </si>
  <si>
    <t>0x2C200A30</t>
    <phoneticPr fontId="1" type="noConversion"/>
  </si>
  <si>
    <t>0x0</t>
    <phoneticPr fontId="1" type="noConversion"/>
  </si>
  <si>
    <t>0x2C200A34</t>
    <phoneticPr fontId="1" type="noConversion"/>
  </si>
  <si>
    <t>A0_MAP</t>
    <phoneticPr fontId="1" type="noConversion"/>
  </si>
  <si>
    <t>0x2C2000C0</t>
    <phoneticPr fontId="1" type="noConversion"/>
  </si>
  <si>
    <t>SEL0</t>
    <phoneticPr fontId="1" type="noConversion"/>
  </si>
  <si>
    <t>A1_MAP</t>
  </si>
  <si>
    <t>0x2C2000C4</t>
    <phoneticPr fontId="1" type="noConversion"/>
  </si>
  <si>
    <t>0x6</t>
    <phoneticPr fontId="1" type="noConversion"/>
  </si>
  <si>
    <t>A2_MAP</t>
  </si>
  <si>
    <t>A3_MAP</t>
  </si>
  <si>
    <t>A4_MAP</t>
  </si>
  <si>
    <t>0x2C2000D0</t>
    <phoneticPr fontId="1" type="noConversion"/>
  </si>
  <si>
    <t>A5_MAP</t>
  </si>
  <si>
    <t>A6_MAP</t>
  </si>
  <si>
    <t>A7_MAP</t>
  </si>
  <si>
    <t>A8_MAP</t>
  </si>
  <si>
    <t>A9_MAP</t>
  </si>
  <si>
    <t>A10_MAP</t>
  </si>
  <si>
    <t>0x2C2000E8</t>
    <phoneticPr fontId="1" type="noConversion"/>
  </si>
  <si>
    <t>A11_MAP</t>
  </si>
  <si>
    <t>0x9</t>
    <phoneticPr fontId="1" type="noConversion"/>
  </si>
  <si>
    <t>A12_MAP</t>
  </si>
  <si>
    <t>0x2C2000F0</t>
    <phoneticPr fontId="1" type="noConversion"/>
  </si>
  <si>
    <t>0x16</t>
    <phoneticPr fontId="1" type="noConversion"/>
  </si>
  <si>
    <t>A13_MAP</t>
  </si>
  <si>
    <t>0x2C2000F4</t>
    <phoneticPr fontId="1" type="noConversion"/>
  </si>
  <si>
    <t>A14_MAP</t>
  </si>
  <si>
    <t>A15_MAP</t>
  </si>
  <si>
    <t>0x13</t>
    <phoneticPr fontId="1" type="noConversion"/>
  </si>
  <si>
    <t>A16_MAP</t>
  </si>
  <si>
    <t>0x2C200100</t>
    <phoneticPr fontId="1" type="noConversion"/>
  </si>
  <si>
    <t>A17_MAP</t>
  </si>
  <si>
    <t>0x12</t>
    <phoneticPr fontId="1" type="noConversion"/>
  </si>
  <si>
    <t>0x14</t>
    <phoneticPr fontId="1" type="noConversion"/>
  </si>
  <si>
    <t>PLL_CTRL</t>
    <phoneticPr fontId="1" type="noConversion"/>
  </si>
  <si>
    <t>0x2C20014C</t>
    <phoneticPr fontId="1" type="noConversion"/>
  </si>
  <si>
    <t>Enable_PLL</t>
    <phoneticPr fontId="1" type="noConversion"/>
  </si>
  <si>
    <t>[3]</t>
    <phoneticPr fontId="1" type="noConversion"/>
  </si>
  <si>
    <t>0x0: enable; 0x1: power down</t>
    <phoneticPr fontId="1" type="noConversion"/>
  </si>
  <si>
    <t>PLL_LOCK</t>
    <phoneticPr fontId="1" type="noConversion"/>
  </si>
  <si>
    <t>0x2C200181</t>
    <phoneticPr fontId="1" type="noConversion"/>
  </si>
  <si>
    <t>[2]</t>
    <phoneticPr fontId="1" type="noConversion"/>
  </si>
  <si>
    <t>RO</t>
    <phoneticPr fontId="1" type="noConversion"/>
  </si>
  <si>
    <t>DDR_PHY_CTRL</t>
    <phoneticPr fontId="1" type="noConversion"/>
  </si>
  <si>
    <t>0x2C000C08</t>
    <phoneticPr fontId="1" type="noConversion"/>
  </si>
  <si>
    <t>ddrphy_system_soft_rst</t>
    <phoneticPr fontId="1" type="noConversion"/>
  </si>
  <si>
    <t>[0]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</si>
  <si>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</si>
  <si>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</si>
  <si>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</si>
  <si>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</si>
  <si>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0x2C000400</t>
    <phoneticPr fontId="1" type="noConversion"/>
  </si>
  <si>
    <t>DMC_SOFT_RST</t>
    <phoneticPr fontId="1" type="noConversion"/>
  </si>
  <si>
    <t>0x0</t>
    <phoneticPr fontId="1" type="noConversion"/>
  </si>
  <si>
    <t>DMC_STAT</t>
    <phoneticPr fontId="1" type="noConversion"/>
  </si>
  <si>
    <t>0x2C1001BD</t>
    <phoneticPr fontId="1" type="noConversion"/>
  </si>
  <si>
    <t>dfi_init_complete</t>
    <phoneticPr fontId="1" type="noConversion"/>
  </si>
  <si>
    <t>0x1</t>
    <phoneticPr fontId="1" type="noConversion"/>
  </si>
  <si>
    <t>DMC_STAT</t>
    <phoneticPr fontId="1" type="noConversion"/>
  </si>
  <si>
    <t>0x2C100005</t>
    <phoneticPr fontId="1" type="noConversion"/>
  </si>
  <si>
    <t>operating_mode</t>
    <phoneticPr fontId="1" type="noConversion"/>
  </si>
  <si>
    <t>[2:0]</t>
    <phoneticPr fontId="1" type="noConversion"/>
  </si>
  <si>
    <t>0x1</t>
    <phoneticPr fontId="1" type="noConversion"/>
  </si>
  <si>
    <t>0x1</t>
    <phoneticPr fontId="1" type="noConversion"/>
  </si>
  <si>
    <t>0x0</t>
    <phoneticPr fontId="1" type="noConversion"/>
  </si>
  <si>
    <t>0x8</t>
    <phoneticPr fontId="1" type="noConversion"/>
  </si>
  <si>
    <t>DDR4 2L-V2 2021/03/26 For FY02B</t>
    <phoneticPr fontId="1" type="noConversion"/>
  </si>
  <si>
    <t>2400Mbps: 0x2/0x3200,
2133Mbps: 0x2/0x2C60,
1866Mbps: 0x2/0x26E0,
1600Mbps: 0x2/0x2155,
1333Mbps: 0x3/0x378A,
1200Mbps: 0x3/0x3200,
1066Mbps: 0x3/0x2C60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</si>
  <si>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</si>
  <si>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</si>
  <si>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</si>
  <si>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</si>
  <si>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MR4</t>
    <phoneticPr fontId="1" type="noConversion"/>
  </si>
  <si>
    <t>MR5</t>
    <phoneticPr fontId="1" type="noConversion"/>
  </si>
  <si>
    <t>MR6</t>
    <phoneticPr fontId="1" type="noConversion"/>
  </si>
  <si>
    <t>0xF</t>
    <phoneticPr fontId="1" type="noConversion"/>
  </si>
  <si>
    <t>0x3C</t>
    <phoneticPr fontId="1" type="noConversion"/>
  </si>
  <si>
    <t>rd_port_urgent_en</t>
    <phoneticPr fontId="1" type="noConversion"/>
  </si>
  <si>
    <t>rd_port_aging_en</t>
    <phoneticPr fontId="1" type="noConversion"/>
  </si>
  <si>
    <t>rd_port_priority</t>
    <phoneticPr fontId="1" type="noConversion"/>
  </si>
  <si>
    <t>rdwr_ordered_en</t>
    <phoneticPr fontId="1" type="noConversion"/>
  </si>
  <si>
    <t>rd_port_pagematch_en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</si>
  <si>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</si>
  <si>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</si>
  <si>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</si>
  <si>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</si>
  <si>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rqos_map_region2</t>
    <phoneticPr fontId="1" type="noConversion"/>
  </si>
  <si>
    <t>rqos_map_region1</t>
    <phoneticPr fontId="1" type="noConversion"/>
  </si>
  <si>
    <t>rqos_map_region0</t>
    <phoneticPr fontId="1" type="noConversion"/>
  </si>
  <si>
    <t>rqos_map_level1</t>
    <phoneticPr fontId="1" type="noConversion"/>
  </si>
  <si>
    <t>rqos_map_level2</t>
    <phoneticPr fontId="1" type="noConversion"/>
  </si>
  <si>
    <t>rqos_map_timeoutr</t>
    <phoneticPr fontId="1" type="noConversion"/>
  </si>
  <si>
    <t>rqos_map_timeoutb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</si>
  <si>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</si>
  <si>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</si>
  <si>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</si>
  <si>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</si>
  <si>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</si>
  <si>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wqos_map_timeout2</t>
    <phoneticPr fontId="1" type="noConversion"/>
  </si>
  <si>
    <t>wqos_map_timeout1</t>
    <phoneticPr fontId="1" type="noConversion"/>
  </si>
  <si>
    <t>Asyn ACCESS</t>
    <phoneticPr fontId="1" type="noConversion"/>
  </si>
  <si>
    <t>DQ0_3</t>
    <phoneticPr fontId="1" type="noConversion"/>
  </si>
  <si>
    <t>[7:0]</t>
    <phoneticPr fontId="1" type="noConversion"/>
  </si>
  <si>
    <t>0xC8</t>
    <phoneticPr fontId="1" type="noConversion"/>
  </si>
  <si>
    <t>DQ4_7</t>
    <phoneticPr fontId="1" type="noConversion"/>
  </si>
  <si>
    <t>0xE5</t>
    <phoneticPr fontId="1" type="noConversion"/>
  </si>
  <si>
    <t>0x2C200830</t>
    <phoneticPr fontId="1" type="noConversion"/>
  </si>
  <si>
    <t>DQ8_11</t>
    <phoneticPr fontId="1" type="noConversion"/>
  </si>
  <si>
    <t>[7:0]</t>
    <phoneticPr fontId="1" type="noConversion"/>
  </si>
  <si>
    <t>0x7B</t>
    <phoneticPr fontId="1" type="noConversion"/>
  </si>
  <si>
    <t>DQ12_15</t>
    <phoneticPr fontId="1" type="noConversion"/>
  </si>
  <si>
    <t>0x21</t>
    <phoneticPr fontId="1" type="noConversion"/>
  </si>
  <si>
    <t>DQ_SWAP</t>
    <phoneticPr fontId="1" type="noConversion"/>
  </si>
  <si>
    <t>DQ16_19</t>
    <phoneticPr fontId="1" type="noConversion"/>
  </si>
  <si>
    <t>0xE0</t>
    <phoneticPr fontId="1" type="noConversion"/>
  </si>
  <si>
    <t>DQ20_23</t>
    <phoneticPr fontId="1" type="noConversion"/>
  </si>
  <si>
    <t>0x9D</t>
    <phoneticPr fontId="1" type="noConversion"/>
  </si>
  <si>
    <t>DQ24_27</t>
    <phoneticPr fontId="1" type="noConversion"/>
  </si>
  <si>
    <t>DQ28_31</t>
    <phoneticPr fontId="1" type="noConversion"/>
  </si>
  <si>
    <t>0x83</t>
    <phoneticPr fontId="1" type="noConversion"/>
  </si>
  <si>
    <t>RDTRAIN</t>
    <phoneticPr fontId="1" type="noConversion"/>
  </si>
  <si>
    <t>0x2C200190</t>
    <phoneticPr fontId="1" type="noConversion"/>
  </si>
  <si>
    <t>rd_train_check_en</t>
    <phoneticPr fontId="1" type="noConversion"/>
  </si>
  <si>
    <t>SEL1</t>
    <phoneticPr fontId="1" type="noConversion"/>
  </si>
  <si>
    <t>0x15</t>
    <phoneticPr fontId="1" type="noConversion"/>
  </si>
  <si>
    <t>0x2C2000CC</t>
    <phoneticPr fontId="1" type="noConversion"/>
  </si>
  <si>
    <t>0x8</t>
    <phoneticPr fontId="1" type="noConversion"/>
  </si>
  <si>
    <t>0x2C2000D4</t>
    <phoneticPr fontId="1" type="noConversion"/>
  </si>
  <si>
    <t>0xE</t>
    <phoneticPr fontId="1" type="noConversion"/>
  </si>
  <si>
    <t>0x2C2000D8</t>
    <phoneticPr fontId="1" type="noConversion"/>
  </si>
  <si>
    <t>0xD</t>
    <phoneticPr fontId="1" type="noConversion"/>
  </si>
  <si>
    <t>0x2C2000DC</t>
    <phoneticPr fontId="1" type="noConversion"/>
  </si>
  <si>
    <t>0x2C2000E0</t>
    <phoneticPr fontId="1" type="noConversion"/>
  </si>
  <si>
    <t>0x2C2000E4</t>
    <phoneticPr fontId="1" type="noConversion"/>
  </si>
  <si>
    <t>0x2C2000EC</t>
    <phoneticPr fontId="1" type="noConversion"/>
  </si>
  <si>
    <t>0x0</t>
    <phoneticPr fontId="1" type="noConversion"/>
  </si>
  <si>
    <t>0x2C2000F8</t>
    <phoneticPr fontId="1" type="noConversion"/>
  </si>
  <si>
    <t>0x7</t>
    <phoneticPr fontId="1" type="noConversion"/>
  </si>
  <si>
    <t>0x2C2000FC</t>
    <phoneticPr fontId="1" type="noConversion"/>
  </si>
  <si>
    <t>0x1</t>
    <phoneticPr fontId="1" type="noConversion"/>
  </si>
  <si>
    <t>0x2</t>
    <phoneticPr fontId="1" type="noConversion"/>
  </si>
  <si>
    <t>0x2C200104</t>
    <phoneticPr fontId="1" type="noConversion"/>
  </si>
  <si>
    <t>0x11</t>
    <phoneticPr fontId="1" type="noConversion"/>
  </si>
  <si>
    <t>DQ_SEL</t>
    <phoneticPr fontId="1" type="noConversion"/>
  </si>
  <si>
    <t>0x2C200108</t>
    <phoneticPr fontId="1" type="noConversion"/>
  </si>
  <si>
    <t>0xA</t>
    <phoneticPr fontId="1" type="noConversion"/>
  </si>
  <si>
    <t>0x2C20010C</t>
    <phoneticPr fontId="1" type="noConversion"/>
  </si>
  <si>
    <t>0x10</t>
    <phoneticPr fontId="1" type="noConversion"/>
  </si>
  <si>
    <t>0x2C200110</t>
    <phoneticPr fontId="1" type="noConversion"/>
  </si>
  <si>
    <t>0xB</t>
    <phoneticPr fontId="1" type="noConversion"/>
  </si>
  <si>
    <t>0x2C200114</t>
    <phoneticPr fontId="1" type="noConversion"/>
  </si>
  <si>
    <t>0x5</t>
    <phoneticPr fontId="1" type="noConversion"/>
  </si>
  <si>
    <t>0x2C200118</t>
    <phoneticPr fontId="1" type="noConversion"/>
  </si>
  <si>
    <t>0xC</t>
    <phoneticPr fontId="1" type="noConversion"/>
  </si>
  <si>
    <t>updated 2021/03/26</t>
    <phoneticPr fontId="1" type="noConversion"/>
  </si>
  <si>
    <t>0x3ff</t>
    <phoneticPr fontId="1" type="noConversion"/>
  </si>
  <si>
    <t>0x3e8</t>
    <phoneticPr fontId="1" type="noConversion"/>
  </si>
  <si>
    <t>0x3ff</t>
    <phoneticPr fontId="1" type="noConversion"/>
  </si>
  <si>
    <t>0x320</t>
    <phoneticPr fontId="1" type="noConversion"/>
  </si>
  <si>
    <t>0x1</t>
    <phoneticPr fontId="1" type="noConversion"/>
  </si>
  <si>
    <t>0x258</t>
    <phoneticPr fontId="1" type="noConversion"/>
  </si>
  <si>
    <t>0x7</t>
    <phoneticPr fontId="1" type="noConversion"/>
  </si>
  <si>
    <t>0x4</t>
    <phoneticPr fontId="1" type="noConversion"/>
  </si>
  <si>
    <t>VOU/VIU</t>
    <phoneticPr fontId="1" type="noConversion"/>
  </si>
  <si>
    <t>0x2</t>
    <phoneticPr fontId="1" type="noConversion"/>
  </si>
  <si>
    <t>0xf</t>
    <phoneticPr fontId="1" type="noConversion"/>
  </si>
  <si>
    <t>0x5</t>
    <phoneticPr fontId="1" type="noConversion"/>
  </si>
  <si>
    <t>0xB</t>
    <phoneticPr fontId="1" type="noConversion"/>
  </si>
  <si>
    <t>0xB</t>
    <phoneticPr fontId="1" type="noConversion"/>
  </si>
  <si>
    <t>0x3E8</t>
    <phoneticPr fontId="1" type="noConversion"/>
  </si>
  <si>
    <t>0x3E8</t>
    <phoneticPr fontId="1" type="noConversion"/>
  </si>
  <si>
    <t>VOU/VIU</t>
    <phoneticPr fontId="1" type="noConversion"/>
  </si>
  <si>
    <t>0x7</t>
    <phoneticPr fontId="1" type="noConversion"/>
  </si>
  <si>
    <t>0xb</t>
    <phoneticPr fontId="1" type="noConversion"/>
  </si>
  <si>
    <t>0xb</t>
    <phoneticPr fontId="1" type="noConversion"/>
  </si>
  <si>
    <t>0x12C</t>
    <phoneticPr fontId="1" type="noConversion"/>
  </si>
  <si>
    <t>0x12C</t>
    <phoneticPr fontId="1" type="noConversion"/>
  </si>
  <si>
    <t>0x0</t>
    <phoneticPr fontId="1" type="noConversion"/>
  </si>
  <si>
    <t>CKG_BUSMON_TIMER_EN</t>
    <phoneticPr fontId="1" type="noConversion"/>
  </si>
  <si>
    <t>CKG_PERF_MON6_EN</t>
    <phoneticPr fontId="1" type="noConversion"/>
  </si>
  <si>
    <t>CKG_PERF_MON5_EN</t>
    <phoneticPr fontId="1" type="noConversion"/>
  </si>
  <si>
    <t>CKG_PERF_MON4_EN</t>
  </si>
  <si>
    <t>CKG_PERF_MON3_EN</t>
  </si>
  <si>
    <t>CKG_PERF_MON2_EN</t>
  </si>
  <si>
    <t>CKG_PERF_MON1_EN</t>
  </si>
  <si>
    <t>CKG_PERF_MON0_EN</t>
  </si>
  <si>
    <t>CKG_DFI_MON_EN</t>
    <phoneticPr fontId="1" type="noConversion"/>
  </si>
  <si>
    <t>[20]</t>
    <phoneticPr fontId="1" type="noConversion"/>
  </si>
  <si>
    <t>[29]</t>
    <phoneticPr fontId="1" type="noConversion"/>
  </si>
  <si>
    <t>[7]</t>
    <phoneticPr fontId="1" type="noConversion"/>
  </si>
  <si>
    <t>[6]</t>
    <phoneticPr fontId="1" type="noConversion"/>
  </si>
  <si>
    <t>[3]</t>
  </si>
  <si>
    <t>[1]</t>
  </si>
  <si>
    <t>ih_fifo_control_sel</t>
  </si>
  <si>
    <t>[0]</t>
    <phoneticPr fontId="1" type="noConversion"/>
  </si>
  <si>
    <t>0x1</t>
    <phoneticPr fontId="1" type="noConversion"/>
  </si>
  <si>
    <t>FY02B Specific</t>
    <phoneticPr fontId="1" type="noConversion"/>
  </si>
  <si>
    <t>DMC_ECO_CTRL</t>
  </si>
  <si>
    <t>0xE00</t>
    <phoneticPr fontId="1" type="noConversion"/>
  </si>
  <si>
    <t>0x3200</t>
    <phoneticPr fontId="1" type="noConversion"/>
  </si>
  <si>
    <t>DDR4 2400-17-17-17 4Gb-x16</t>
    <phoneticPr fontId="1" type="noConversion"/>
  </si>
  <si>
    <t>DDR4-2400 
(17-17-17)</t>
    <phoneticPr fontId="1" type="noConversion"/>
  </si>
  <si>
    <t>0x964</t>
    <phoneticPr fontId="1" type="noConversion"/>
  </si>
  <si>
    <t>0x18</t>
    <phoneticPr fontId="1" type="noConversion"/>
  </si>
  <si>
    <t>Register comments</t>
    <phoneticPr fontId="1" type="noConversion"/>
  </si>
  <si>
    <t>[15:8]</t>
    <phoneticPr fontId="1" type="noConversion"/>
  </si>
  <si>
    <t>0x6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</si>
</sst>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7030A0"/>
      </bottom>
      <diagonal/>
    </border>
    <border>
      <left/>
      <right/>
      <top/>
      <bottom style="double">
        <color rgb="FF7030A0"/>
      </bottom>
      <diagonal/>
    </border>
  </borders>
  <cellStyleXfs count="2">
    <xf numFmtId="0" fontId="0" fillId="0" borderId="0"/>
    <xf numFmtId="0" fontId="3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7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8" fillId="10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0" borderId="4" xfId="0" applyFill="1" applyBorder="1"/>
    <xf numFmtId="0" fontId="8" fillId="10" borderId="5" xfId="0" applyFont="1" applyFill="1" applyBorder="1"/>
    <xf numFmtId="0" fontId="0" fillId="10" borderId="5" xfId="0" applyFill="1" applyBorder="1"/>
    <xf numFmtId="0" fontId="0" fillId="10" borderId="5" xfId="0" applyFill="1" applyBorder="1" applyAlignment="1">
      <alignment horizontal="left"/>
    </xf>
    <xf numFmtId="0" fontId="8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11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/>
    <xf numFmtId="0" fontId="8" fillId="0" borderId="1" xfId="0" applyFont="1" applyBorder="1"/>
    <xf numFmtId="0" fontId="0" fillId="4" borderId="1" xfId="0" quotePrefix="1" applyFill="1" applyBorder="1" applyAlignment="1">
      <alignment horizontal="left"/>
    </xf>
    <xf numFmtId="0" fontId="7" fillId="0" borderId="1" xfId="0" applyFont="1" applyBorder="1"/>
    <xf numFmtId="0" fontId="0" fillId="0" borderId="1" xfId="0" applyFont="1" applyBorder="1"/>
    <xf numFmtId="0" fontId="6" fillId="4" borderId="1" xfId="0" applyFont="1" applyFill="1" applyBorder="1"/>
    <xf numFmtId="0" fontId="6" fillId="4" borderId="5" xfId="0" applyFont="1" applyFill="1" applyBorder="1"/>
    <xf numFmtId="0" fontId="6" fillId="4" borderId="2" xfId="0" applyFont="1" applyFill="1" applyBorder="1"/>
    <xf numFmtId="0" fontId="8" fillId="0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2" xfId="0" applyBorder="1"/>
    <xf numFmtId="0" fontId="0" fillId="4" borderId="7" xfId="0" applyFill="1" applyBorder="1"/>
    <xf numFmtId="0" fontId="0" fillId="4" borderId="7" xfId="0" applyFill="1" applyBorder="1" applyAlignment="1">
      <alignment horizontal="left"/>
    </xf>
    <xf numFmtId="0" fontId="0" fillId="4" borderId="8" xfId="0" applyFill="1" applyBorder="1"/>
    <xf numFmtId="0" fontId="0" fillId="0" borderId="7" xfId="0" applyBorder="1"/>
    <xf numFmtId="0" fontId="4" fillId="0" borderId="1" xfId="0" applyFont="1" applyBorder="1"/>
    <xf numFmtId="0" fontId="5" fillId="0" borderId="1" xfId="0" applyFont="1" applyBorder="1"/>
    <xf numFmtId="0" fontId="0" fillId="0" borderId="0" xfId="0" applyFill="1" applyBorder="1" applyAlignment="1">
      <alignment horizontal="left" vertical="top"/>
    </xf>
    <xf numFmtId="0" fontId="4" fillId="0" borderId="0" xfId="0" applyFont="1"/>
    <xf numFmtId="0" fontId="0" fillId="2" borderId="1" xfId="0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5" borderId="6" xfId="0" applyFill="1" applyBorder="1"/>
    <xf numFmtId="0" fontId="2" fillId="0" borderId="0" xfId="0" applyFont="1"/>
    <xf numFmtId="0" fontId="8" fillId="6" borderId="1" xfId="0" applyFont="1" applyFill="1" applyBorder="1" applyAlignment="1">
      <alignment horizontal="left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C24" sqref="C24:E24"/>
    </sheetView>
  </sheetViews>
  <sheetFormatPr defaultRowHeight="14" x14ac:dyDescent="0.3"/>
  <cols>
    <col min="1" max="1" width="30.33203125" style="9" customWidth="1"/>
    <col min="2" max="2" width="16.75" style="9" customWidth="1"/>
    <col min="3" max="3" width="40" style="9" customWidth="1"/>
    <col min="4" max="4" width="20.58203125" style="9" customWidth="1"/>
    <col min="5" max="5" width="20.58203125" style="10" customWidth="1"/>
    <col min="6" max="6" width="35" customWidth="1"/>
  </cols>
  <sheetData>
    <row r="1" spans="1:6" x14ac:dyDescent="0.3">
      <c r="A1" s="13" t="s">
        <v>0</v>
      </c>
      <c r="B1" s="13" t="s">
        <v>183</v>
      </c>
      <c r="C1" s="13"/>
      <c r="D1" s="13"/>
      <c r="E1" s="14"/>
      <c r="F1" s="14"/>
    </row>
    <row r="2" spans="1:6" x14ac:dyDescent="0.3">
      <c r="A2" s="13" t="s">
        <v>1</v>
      </c>
      <c r="B2" s="13" t="s">
        <v>97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1144</v>
      </c>
    </row>
    <row r="4" spans="1:6" ht="13.5" customHeight="1" x14ac:dyDescent="0.3">
      <c r="A4" s="4" t="s">
        <v>294</v>
      </c>
      <c r="B4" s="4" t="s">
        <v>295</v>
      </c>
      <c r="C4" s="4" t="s">
        <v>296</v>
      </c>
      <c r="D4" s="4" t="s">
        <v>297</v>
      </c>
      <c r="E4" s="57" t="s">
        <v>298</v>
      </c>
      <c r="F4" s="89" t="s">
        <v>1006</v>
      </c>
    </row>
    <row r="5" spans="1:6" x14ac:dyDescent="0.3">
      <c r="A5" s="66" t="s">
        <v>172</v>
      </c>
      <c r="B5" s="66" t="s">
        <v>107</v>
      </c>
      <c r="C5" s="66" t="s">
        <v>172</v>
      </c>
      <c r="D5" s="9" t="s">
        <v>15</v>
      </c>
      <c r="E5" s="10" t="s">
        <v>300</v>
      </c>
      <c r="F5" s="89" t="s">
        <v>1140</v>
      </c>
    </row>
    <row r="6" spans="1:6" ht="16" customHeight="1" x14ac:dyDescent="0.3">
      <c r="A6" s="4" t="s">
        <v>124</v>
      </c>
      <c r="B6" s="4" t="s">
        <v>123</v>
      </c>
      <c r="C6" s="4" t="s">
        <v>124</v>
      </c>
      <c r="D6" s="4" t="s">
        <v>125</v>
      </c>
      <c r="E6" s="5" t="s">
        <v>293</v>
      </c>
      <c r="F6" s="91" t="s">
        <v>1007</v>
      </c>
    </row>
    <row r="7" spans="1:6" ht="13.5" customHeight="1" x14ac:dyDescent="0.3">
      <c r="A7" s="4"/>
      <c r="B7" s="4"/>
      <c r="C7" s="4"/>
      <c r="D7" s="4" t="s">
        <v>126</v>
      </c>
      <c r="E7" s="24" t="s">
        <v>1139</v>
      </c>
      <c r="F7" s="92"/>
    </row>
    <row r="8" spans="1:6" ht="13.5" customHeight="1" x14ac:dyDescent="0.3">
      <c r="A8" s="65" t="s">
        <v>294</v>
      </c>
      <c r="B8" s="65" t="s">
        <v>295</v>
      </c>
      <c r="C8" s="65" t="s">
        <v>296</v>
      </c>
      <c r="D8" s="4" t="s">
        <v>297</v>
      </c>
      <c r="E8" s="57" t="s">
        <v>299</v>
      </c>
      <c r="F8" s="92"/>
    </row>
    <row r="9" spans="1:6" x14ac:dyDescent="0.3">
      <c r="A9" s="66" t="s">
        <v>121</v>
      </c>
      <c r="B9" s="66" t="s">
        <v>277</v>
      </c>
      <c r="C9" s="66" t="s">
        <v>121</v>
      </c>
      <c r="D9" s="9" t="s">
        <v>122</v>
      </c>
      <c r="E9" s="10" t="s">
        <v>115</v>
      </c>
      <c r="F9" s="92"/>
    </row>
    <row r="10" spans="1:6" x14ac:dyDescent="0.3">
      <c r="A10" s="66" t="s">
        <v>111</v>
      </c>
      <c r="B10" s="66" t="s">
        <v>112</v>
      </c>
      <c r="C10" s="66" t="s">
        <v>173</v>
      </c>
      <c r="D10" s="9" t="s">
        <v>14</v>
      </c>
      <c r="E10" s="10" t="s">
        <v>22</v>
      </c>
      <c r="F10" s="92"/>
    </row>
    <row r="11" spans="1:6" x14ac:dyDescent="0.3">
      <c r="A11" s="66" t="s">
        <v>109</v>
      </c>
      <c r="B11" s="66" t="s">
        <v>110</v>
      </c>
      <c r="C11" s="66" t="s">
        <v>175</v>
      </c>
      <c r="D11" s="9" t="s">
        <v>176</v>
      </c>
      <c r="E11" s="10" t="s">
        <v>22</v>
      </c>
      <c r="F11" s="92"/>
    </row>
    <row r="12" spans="1:6" x14ac:dyDescent="0.3">
      <c r="A12" s="67"/>
      <c r="B12" s="67"/>
      <c r="C12" s="67" t="s">
        <v>272</v>
      </c>
      <c r="D12" s="36" t="s">
        <v>273</v>
      </c>
      <c r="E12" s="37" t="s">
        <v>274</v>
      </c>
      <c r="F12" s="92"/>
    </row>
    <row r="13" spans="1:6" x14ac:dyDescent="0.3">
      <c r="A13" s="67"/>
      <c r="B13" s="67"/>
      <c r="C13" s="67" t="s">
        <v>275</v>
      </c>
      <c r="D13" s="36" t="s">
        <v>276</v>
      </c>
      <c r="E13" s="37" t="s">
        <v>274</v>
      </c>
      <c r="F13" s="92"/>
    </row>
    <row r="14" spans="1:6" x14ac:dyDescent="0.3">
      <c r="A14" s="67"/>
      <c r="B14" s="67"/>
      <c r="C14" s="67" t="s">
        <v>1118</v>
      </c>
      <c r="D14" s="36" t="s">
        <v>1127</v>
      </c>
      <c r="E14" s="37" t="s">
        <v>1099</v>
      </c>
    </row>
    <row r="15" spans="1:6" x14ac:dyDescent="0.3">
      <c r="A15" s="67"/>
      <c r="B15" s="67"/>
      <c r="C15" s="67" t="s">
        <v>1119</v>
      </c>
      <c r="D15" s="36" t="s">
        <v>1128</v>
      </c>
      <c r="E15" s="37" t="s">
        <v>1099</v>
      </c>
    </row>
    <row r="16" spans="1:6" x14ac:dyDescent="0.3">
      <c r="A16" s="67"/>
      <c r="B16" s="67"/>
      <c r="C16" s="67" t="s">
        <v>1120</v>
      </c>
      <c r="D16" s="36" t="s">
        <v>1129</v>
      </c>
      <c r="E16" s="37" t="s">
        <v>1099</v>
      </c>
    </row>
    <row r="17" spans="1:6" x14ac:dyDescent="0.3">
      <c r="A17" s="67"/>
      <c r="B17" s="67"/>
      <c r="C17" s="67" t="s">
        <v>1121</v>
      </c>
      <c r="D17" s="36" t="s">
        <v>1130</v>
      </c>
      <c r="E17" s="37" t="s">
        <v>1099</v>
      </c>
    </row>
    <row r="18" spans="1:6" x14ac:dyDescent="0.3">
      <c r="A18" s="67"/>
      <c r="B18" s="67"/>
      <c r="C18" s="67" t="s">
        <v>1122</v>
      </c>
      <c r="D18" s="36" t="s">
        <v>448</v>
      </c>
      <c r="E18" s="37" t="s">
        <v>1099</v>
      </c>
    </row>
    <row r="19" spans="1:6" x14ac:dyDescent="0.3">
      <c r="A19" s="67"/>
      <c r="B19" s="67"/>
      <c r="C19" s="67" t="s">
        <v>1123</v>
      </c>
      <c r="D19" s="36" t="s">
        <v>449</v>
      </c>
      <c r="E19" s="37" t="s">
        <v>1099</v>
      </c>
    </row>
    <row r="20" spans="1:6" x14ac:dyDescent="0.3">
      <c r="A20" s="67"/>
      <c r="B20" s="67"/>
      <c r="C20" s="67" t="s">
        <v>1124</v>
      </c>
      <c r="D20" s="36" t="s">
        <v>1131</v>
      </c>
      <c r="E20" s="37" t="s">
        <v>1099</v>
      </c>
    </row>
    <row r="21" spans="1:6" x14ac:dyDescent="0.3">
      <c r="A21" s="67"/>
      <c r="B21" s="67"/>
      <c r="C21" s="67" t="s">
        <v>1125</v>
      </c>
      <c r="D21" s="36" t="s">
        <v>441</v>
      </c>
      <c r="E21" s="37" t="s">
        <v>1099</v>
      </c>
    </row>
    <row r="22" spans="1:6" x14ac:dyDescent="0.3">
      <c r="A22" s="67"/>
      <c r="B22" s="67"/>
      <c r="C22" s="67" t="s">
        <v>1126</v>
      </c>
      <c r="D22" s="36" t="s">
        <v>1132</v>
      </c>
      <c r="E22" s="37" t="s">
        <v>1099</v>
      </c>
      <c r="F22" s="79"/>
    </row>
    <row r="23" spans="1:6" x14ac:dyDescent="0.3">
      <c r="A23" s="67"/>
      <c r="B23" s="67"/>
      <c r="C23" s="67" t="s">
        <v>174</v>
      </c>
      <c r="D23" s="36" t="s">
        <v>14</v>
      </c>
      <c r="E23" s="37" t="s">
        <v>108</v>
      </c>
    </row>
    <row r="24" spans="1:6" x14ac:dyDescent="0.3">
      <c r="A24" s="66" t="s">
        <v>1137</v>
      </c>
      <c r="B24" s="66" t="s">
        <v>1138</v>
      </c>
      <c r="C24" s="56" t="s">
        <v>1133</v>
      </c>
      <c r="D24" s="56" t="s">
        <v>1134</v>
      </c>
      <c r="E24" s="70" t="s">
        <v>1135</v>
      </c>
      <c r="F24" s="80" t="s">
        <v>1136</v>
      </c>
    </row>
    <row r="25" spans="1:6" x14ac:dyDescent="0.3">
      <c r="A25" s="66" t="s">
        <v>101</v>
      </c>
      <c r="B25" s="66" t="s">
        <v>102</v>
      </c>
      <c r="C25" s="66" t="s">
        <v>170</v>
      </c>
      <c r="D25" s="9" t="s">
        <v>103</v>
      </c>
      <c r="E25" s="4" t="s">
        <v>1117</v>
      </c>
    </row>
    <row r="26" spans="1:6" x14ac:dyDescent="0.3">
      <c r="A26" s="68"/>
      <c r="B26" s="68"/>
      <c r="C26" s="68" t="s">
        <v>171</v>
      </c>
      <c r="D26" s="19" t="s">
        <v>7</v>
      </c>
      <c r="E26" s="72" t="s">
        <v>1117</v>
      </c>
    </row>
    <row r="27" spans="1:6" x14ac:dyDescent="0.3">
      <c r="A27" s="66"/>
      <c r="B27" s="66"/>
      <c r="C27" s="66" t="s">
        <v>158</v>
      </c>
      <c r="D27" s="9" t="s">
        <v>8</v>
      </c>
      <c r="E27" s="4" t="s">
        <v>1117</v>
      </c>
    </row>
    <row r="28" spans="1:6" x14ac:dyDescent="0.3">
      <c r="A28" s="66"/>
      <c r="B28" s="66"/>
      <c r="C28" s="66" t="s">
        <v>159</v>
      </c>
      <c r="D28" s="9" t="s">
        <v>9</v>
      </c>
      <c r="E28" s="4" t="s">
        <v>1117</v>
      </c>
    </row>
    <row r="29" spans="1:6" x14ac:dyDescent="0.3">
      <c r="A29" s="66"/>
      <c r="B29" s="66"/>
      <c r="C29" s="66" t="s">
        <v>160</v>
      </c>
      <c r="D29" s="9" t="s">
        <v>10</v>
      </c>
      <c r="E29" s="4" t="s">
        <v>337</v>
      </c>
    </row>
    <row r="30" spans="1:6" x14ac:dyDescent="0.3">
      <c r="A30" s="66"/>
      <c r="B30" s="66"/>
      <c r="C30" s="66" t="s">
        <v>161</v>
      </c>
      <c r="D30" s="9" t="s">
        <v>11</v>
      </c>
      <c r="E30" s="4" t="s">
        <v>337</v>
      </c>
    </row>
    <row r="31" spans="1:6" x14ac:dyDescent="0.3">
      <c r="A31" s="66"/>
      <c r="B31" s="66"/>
      <c r="C31" s="66" t="s">
        <v>162</v>
      </c>
      <c r="D31" s="9" t="s">
        <v>43</v>
      </c>
      <c r="E31" s="4" t="s">
        <v>1005</v>
      </c>
    </row>
    <row r="32" spans="1:6" x14ac:dyDescent="0.3">
      <c r="A32" s="66"/>
      <c r="B32" s="66"/>
      <c r="C32" s="66" t="s">
        <v>163</v>
      </c>
      <c r="D32" s="9" t="s">
        <v>104</v>
      </c>
      <c r="E32" s="4" t="s">
        <v>1005</v>
      </c>
    </row>
    <row r="33" spans="1:5" x14ac:dyDescent="0.3">
      <c r="A33" s="66" t="s">
        <v>105</v>
      </c>
      <c r="B33" s="66" t="s">
        <v>106</v>
      </c>
      <c r="C33" s="66" t="s">
        <v>164</v>
      </c>
      <c r="D33" s="9" t="s">
        <v>8</v>
      </c>
      <c r="E33" s="4" t="s">
        <v>1004</v>
      </c>
    </row>
    <row r="34" spans="1:5" x14ac:dyDescent="0.3">
      <c r="A34" s="66"/>
      <c r="B34" s="66"/>
      <c r="C34" s="66" t="s">
        <v>165</v>
      </c>
      <c r="D34" s="9" t="s">
        <v>9</v>
      </c>
      <c r="E34" s="4" t="s">
        <v>337</v>
      </c>
    </row>
    <row r="35" spans="1:5" x14ac:dyDescent="0.3">
      <c r="C35" s="9" t="s">
        <v>166</v>
      </c>
      <c r="D35" s="9" t="s">
        <v>10</v>
      </c>
      <c r="E35" s="4" t="s">
        <v>1117</v>
      </c>
    </row>
    <row r="36" spans="1:5" x14ac:dyDescent="0.3">
      <c r="C36" s="9" t="s">
        <v>167</v>
      </c>
      <c r="D36" s="9" t="s">
        <v>11</v>
      </c>
      <c r="E36" s="4" t="s">
        <v>1117</v>
      </c>
    </row>
    <row r="37" spans="1:5" x14ac:dyDescent="0.3">
      <c r="C37" s="9" t="s">
        <v>168</v>
      </c>
      <c r="D37" s="9" t="s">
        <v>43</v>
      </c>
      <c r="E37" s="4" t="s">
        <v>1117</v>
      </c>
    </row>
    <row r="38" spans="1:5" x14ac:dyDescent="0.3">
      <c r="C38" s="9" t="s">
        <v>169</v>
      </c>
      <c r="D38" s="9" t="s">
        <v>12</v>
      </c>
      <c r="E38" s="4" t="s">
        <v>1117</v>
      </c>
    </row>
  </sheetData>
  <mergeCells count="1">
    <mergeCell ref="F6:F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2"/>
  <sheetViews>
    <sheetView topLeftCell="A41" zoomScaleNormal="100" workbookViewId="0">
      <selection activeCell="F64" sqref="F64:F66"/>
    </sheetView>
  </sheetViews>
  <sheetFormatPr defaultColWidth="9" defaultRowHeight="14" x14ac:dyDescent="0.3"/>
  <cols>
    <col min="1" max="1" width="30.33203125" style="9" customWidth="1"/>
    <col min="2" max="2" width="14.08203125" style="10" customWidth="1"/>
    <col min="3" max="3" width="31.83203125" style="9" customWidth="1"/>
    <col min="4" max="4" width="13.33203125" style="9" customWidth="1"/>
    <col min="5" max="5" width="13.08203125" style="10" customWidth="1"/>
    <col min="6" max="6" width="16.6640625" style="10" customWidth="1"/>
    <col min="7" max="16384" width="9" style="17"/>
  </cols>
  <sheetData>
    <row r="1" spans="1:6" ht="28" x14ac:dyDescent="0.3">
      <c r="A1" s="15"/>
      <c r="B1" s="81" t="s">
        <v>1141</v>
      </c>
      <c r="C1" s="60"/>
      <c r="D1" s="60"/>
      <c r="E1" s="60"/>
      <c r="F1" s="60"/>
    </row>
    <row r="2" spans="1:6" x14ac:dyDescent="0.3">
      <c r="A2" s="15" t="s">
        <v>535</v>
      </c>
      <c r="B2" s="81">
        <v>2400</v>
      </c>
      <c r="C2" s="60"/>
      <c r="D2" s="60"/>
      <c r="E2" s="60"/>
      <c r="F2" s="60"/>
    </row>
    <row r="3" spans="1:6" x14ac:dyDescent="0.3">
      <c r="A3" s="15" t="s">
        <v>536</v>
      </c>
      <c r="B3" s="16" t="s">
        <v>1142</v>
      </c>
      <c r="C3" s="10"/>
      <c r="D3" s="10"/>
    </row>
    <row r="4" spans="1:6" x14ac:dyDescent="0.3">
      <c r="A4" s="15" t="s">
        <v>537</v>
      </c>
      <c r="B4" s="16">
        <v>257</v>
      </c>
      <c r="C4" s="10"/>
      <c r="D4" s="10"/>
    </row>
    <row r="5" spans="1:6" x14ac:dyDescent="0.3">
      <c r="A5" s="15" t="s">
        <v>538</v>
      </c>
      <c r="B5" s="16" t="s">
        <v>1143</v>
      </c>
      <c r="C5" s="10"/>
      <c r="D5" s="10"/>
    </row>
    <row r="6" spans="1:6" x14ac:dyDescent="0.3">
      <c r="A6" s="15" t="s">
        <v>539</v>
      </c>
      <c r="B6" s="16" t="s">
        <v>540</v>
      </c>
      <c r="C6" s="10"/>
      <c r="D6" s="10"/>
    </row>
    <row r="7" spans="1:6" x14ac:dyDescent="0.3">
      <c r="A7" s="15" t="s">
        <v>542</v>
      </c>
      <c r="B7" s="16" t="s">
        <v>21</v>
      </c>
      <c r="C7" s="10"/>
      <c r="D7" s="10"/>
    </row>
    <row r="8" spans="1:6" x14ac:dyDescent="0.3">
      <c r="A8" s="15" t="s">
        <v>545</v>
      </c>
      <c r="B8" s="16" t="s">
        <v>929</v>
      </c>
      <c r="C8" s="10"/>
      <c r="D8" s="10"/>
    </row>
    <row r="9" spans="1:6" x14ac:dyDescent="0.3">
      <c r="A9" s="15" t="s">
        <v>546</v>
      </c>
      <c r="B9" s="16" t="s">
        <v>930</v>
      </c>
      <c r="C9" s="10"/>
      <c r="D9" s="10"/>
    </row>
    <row r="10" spans="1:6" x14ac:dyDescent="0.3">
      <c r="A10" s="15" t="s">
        <v>547</v>
      </c>
      <c r="B10" s="16">
        <v>0</v>
      </c>
      <c r="C10" s="10"/>
      <c r="D10" s="10"/>
    </row>
    <row r="11" spans="1:6" x14ac:dyDescent="0.3">
      <c r="A11" s="15" t="s">
        <v>548</v>
      </c>
      <c r="B11" s="16">
        <v>0</v>
      </c>
      <c r="C11" s="10"/>
      <c r="D11" s="10"/>
    </row>
    <row r="12" spans="1:6" x14ac:dyDescent="0.3">
      <c r="A12" s="15" t="s">
        <v>549</v>
      </c>
      <c r="B12" s="16">
        <v>17</v>
      </c>
      <c r="C12" s="61"/>
      <c r="D12" s="61"/>
      <c r="E12" s="61"/>
      <c r="F12" s="61"/>
    </row>
    <row r="13" spans="1:6" x14ac:dyDescent="0.3">
      <c r="A13" s="15" t="s">
        <v>550</v>
      </c>
      <c r="B13" s="16">
        <f>B12+2</f>
        <v>19</v>
      </c>
      <c r="C13" s="61"/>
      <c r="D13" s="61"/>
      <c r="E13" s="61"/>
      <c r="F13" s="61"/>
    </row>
    <row r="14" spans="1:6" x14ac:dyDescent="0.3">
      <c r="A14" s="15" t="s">
        <v>551</v>
      </c>
      <c r="B14" s="16">
        <v>12</v>
      </c>
      <c r="C14" s="10"/>
      <c r="D14" s="10"/>
    </row>
    <row r="15" spans="1:6" x14ac:dyDescent="0.3">
      <c r="A15" s="15" t="s">
        <v>552</v>
      </c>
      <c r="B15" s="16">
        <v>8</v>
      </c>
      <c r="C15" s="10"/>
      <c r="D15" s="10"/>
    </row>
    <row r="16" spans="1:6" x14ac:dyDescent="0.3">
      <c r="A16" s="15" t="s">
        <v>450</v>
      </c>
      <c r="B16" s="16">
        <f>B10+B11+B14</f>
        <v>12</v>
      </c>
      <c r="C16" s="10"/>
      <c r="D16" s="10"/>
    </row>
    <row r="17" spans="1:6" x14ac:dyDescent="0.3">
      <c r="A17" s="15" t="s">
        <v>553</v>
      </c>
      <c r="B17" s="16">
        <f>B10+B11+B12</f>
        <v>17</v>
      </c>
      <c r="C17" s="10"/>
      <c r="D17" s="10"/>
    </row>
    <row r="18" spans="1:6" x14ac:dyDescent="0.3">
      <c r="A18" s="15" t="s">
        <v>554</v>
      </c>
      <c r="B18" s="16">
        <f>ROUNDUP(B37/(2000/B2),0)</f>
        <v>18</v>
      </c>
      <c r="C18" s="10"/>
      <c r="D18" s="10"/>
    </row>
    <row r="19" spans="1:6" x14ac:dyDescent="0.3">
      <c r="A19" s="15" t="s">
        <v>451</v>
      </c>
      <c r="B19" s="16">
        <f>ROUNDUP(B36/(2000/B2),0)</f>
        <v>9</v>
      </c>
      <c r="C19" s="10"/>
      <c r="D19" s="10"/>
    </row>
    <row r="20" spans="1:6" x14ac:dyDescent="0.3">
      <c r="A20" s="15" t="s">
        <v>555</v>
      </c>
      <c r="B20" s="16">
        <v>7800</v>
      </c>
      <c r="C20" s="61"/>
      <c r="D20" s="61"/>
      <c r="E20" s="61"/>
      <c r="F20" s="61"/>
    </row>
    <row r="21" spans="1:6" x14ac:dyDescent="0.3">
      <c r="A21" s="15" t="s">
        <v>556</v>
      </c>
      <c r="B21" s="16">
        <v>1</v>
      </c>
      <c r="C21" s="10"/>
      <c r="D21" s="10"/>
    </row>
    <row r="22" spans="1:6" x14ac:dyDescent="0.3">
      <c r="A22" s="15" t="s">
        <v>557</v>
      </c>
      <c r="B22" s="16">
        <v>1</v>
      </c>
      <c r="C22" s="10"/>
      <c r="D22" s="10"/>
    </row>
    <row r="23" spans="1:6" ht="13.5" customHeight="1" x14ac:dyDescent="0.3">
      <c r="A23" s="15" t="s">
        <v>558</v>
      </c>
      <c r="B23" s="16">
        <v>200000</v>
      </c>
      <c r="E23" s="9"/>
      <c r="F23" s="9"/>
    </row>
    <row r="24" spans="1:6" x14ac:dyDescent="0.3">
      <c r="A24" s="15" t="s">
        <v>559</v>
      </c>
      <c r="B24" s="16">
        <v>14.16</v>
      </c>
      <c r="E24" s="9"/>
      <c r="F24" s="9"/>
    </row>
    <row r="25" spans="1:6" x14ac:dyDescent="0.3">
      <c r="A25" s="15" t="s">
        <v>560</v>
      </c>
      <c r="B25" s="16">
        <v>14.16</v>
      </c>
      <c r="E25" s="9"/>
      <c r="F25" s="9"/>
    </row>
    <row r="26" spans="1:6" x14ac:dyDescent="0.3">
      <c r="A26" s="15" t="s">
        <v>561</v>
      </c>
      <c r="B26" s="16">
        <v>32</v>
      </c>
      <c r="E26" s="9"/>
      <c r="F26" s="9"/>
    </row>
    <row r="27" spans="1:6" x14ac:dyDescent="0.3">
      <c r="A27" s="15" t="s">
        <v>562</v>
      </c>
      <c r="B27" s="16">
        <f>9*B20</f>
        <v>70200</v>
      </c>
      <c r="E27" s="9"/>
      <c r="F27" s="9"/>
    </row>
    <row r="28" spans="1:6" x14ac:dyDescent="0.3">
      <c r="A28" s="15" t="s">
        <v>563</v>
      </c>
      <c r="B28" s="16">
        <v>46.16</v>
      </c>
      <c r="E28" s="9"/>
      <c r="F28" s="9"/>
    </row>
    <row r="29" spans="1:6" x14ac:dyDescent="0.3">
      <c r="A29" s="15" t="s">
        <v>564</v>
      </c>
      <c r="B29" s="16">
        <f>MAX(5, 5*(2000/B2))</f>
        <v>5</v>
      </c>
      <c r="E29" s="9"/>
      <c r="F29" s="9"/>
    </row>
    <row r="30" spans="1:6" x14ac:dyDescent="0.3">
      <c r="A30" s="15" t="s">
        <v>565</v>
      </c>
      <c r="B30" s="16">
        <f>4*(2000/B2)</f>
        <v>3.3333333333333335</v>
      </c>
      <c r="E30" s="9"/>
      <c r="F30" s="9"/>
    </row>
    <row r="31" spans="1:6" x14ac:dyDescent="0.3">
      <c r="A31" s="15" t="s">
        <v>566</v>
      </c>
      <c r="B31" s="16">
        <f>MAX(4*(2000/B2),5.3)</f>
        <v>5.3</v>
      </c>
      <c r="E31" s="9"/>
      <c r="F31" s="9"/>
    </row>
    <row r="32" spans="1:6" x14ac:dyDescent="0.3">
      <c r="A32" s="15" t="s">
        <v>567</v>
      </c>
      <c r="B32" s="16">
        <f>MAX(4*(2000/B2), 6.4)</f>
        <v>6.4</v>
      </c>
      <c r="E32" s="9"/>
      <c r="F32" s="9"/>
    </row>
    <row r="33" spans="1:6" x14ac:dyDescent="0.3">
      <c r="A33" s="15" t="s">
        <v>568</v>
      </c>
      <c r="B33" s="16">
        <f>MAX(28*(2000/B2),30)</f>
        <v>30</v>
      </c>
      <c r="E33" s="9"/>
      <c r="F33" s="9"/>
    </row>
    <row r="34" spans="1:6" x14ac:dyDescent="0.3">
      <c r="A34" s="15" t="s">
        <v>569</v>
      </c>
      <c r="B34" s="16">
        <f>MAX(2*(2000/B2),2.5)</f>
        <v>2.5</v>
      </c>
      <c r="E34" s="9"/>
      <c r="F34" s="9"/>
    </row>
    <row r="35" spans="1:6" x14ac:dyDescent="0.3">
      <c r="A35" s="15" t="s">
        <v>570</v>
      </c>
      <c r="B35" s="16">
        <f>MAX(4*(2000/B2),7.5)</f>
        <v>7.5</v>
      </c>
      <c r="E35" s="9"/>
      <c r="F35" s="9"/>
    </row>
    <row r="36" spans="1:6" x14ac:dyDescent="0.3">
      <c r="A36" s="15" t="s">
        <v>571</v>
      </c>
      <c r="B36" s="16">
        <f>MAX(4*(2000/B2),7.5)</f>
        <v>7.5</v>
      </c>
      <c r="E36" s="9"/>
      <c r="F36" s="9"/>
    </row>
    <row r="37" spans="1:6" x14ac:dyDescent="0.3">
      <c r="A37" s="15" t="s">
        <v>572</v>
      </c>
      <c r="B37" s="16">
        <v>15</v>
      </c>
      <c r="E37" s="9"/>
      <c r="F37" s="9"/>
    </row>
    <row r="38" spans="1:6" x14ac:dyDescent="0.3">
      <c r="A38" s="15" t="s">
        <v>573</v>
      </c>
      <c r="B38" s="16">
        <f>768*2000/B2</f>
        <v>640</v>
      </c>
      <c r="E38" s="9"/>
      <c r="F38" s="9"/>
    </row>
    <row r="39" spans="1:6" x14ac:dyDescent="0.3">
      <c r="A39" s="15" t="s">
        <v>574</v>
      </c>
      <c r="B39" s="16">
        <f>8*2000/B2</f>
        <v>6.666666666666667</v>
      </c>
      <c r="E39" s="9"/>
      <c r="F39" s="9"/>
    </row>
    <row r="40" spans="1:6" x14ac:dyDescent="0.3">
      <c r="A40" s="15" t="s">
        <v>575</v>
      </c>
      <c r="B40" s="16">
        <f>MAX(24*2000/B2, 15)</f>
        <v>20</v>
      </c>
      <c r="E40" s="9"/>
      <c r="F40" s="9"/>
    </row>
    <row r="41" spans="1:6" x14ac:dyDescent="0.3">
      <c r="A41" s="15" t="s">
        <v>452</v>
      </c>
      <c r="B41" s="16">
        <f>512*2000/B2</f>
        <v>426.66666666666669</v>
      </c>
      <c r="E41" s="9"/>
      <c r="F41" s="9"/>
    </row>
    <row r="42" spans="1:6" x14ac:dyDescent="0.3">
      <c r="A42" s="15" t="s">
        <v>576</v>
      </c>
      <c r="B42" s="16">
        <f>128*2000/B2</f>
        <v>106.66666666666667</v>
      </c>
      <c r="E42" s="9"/>
      <c r="F42" s="9"/>
    </row>
    <row r="43" spans="1:6" x14ac:dyDescent="0.3">
      <c r="A43" s="15" t="s">
        <v>577</v>
      </c>
      <c r="B43" s="16">
        <f>MAX(5*2000/B2,B53+10)</f>
        <v>270</v>
      </c>
      <c r="E43" s="9"/>
      <c r="F43" s="9"/>
    </row>
    <row r="44" spans="1:6" x14ac:dyDescent="0.3">
      <c r="A44" s="15" t="s">
        <v>578</v>
      </c>
      <c r="B44" s="16">
        <f>B53+10</f>
        <v>270</v>
      </c>
      <c r="E44" s="9"/>
      <c r="F44" s="9"/>
    </row>
    <row r="45" spans="1:6" x14ac:dyDescent="0.3">
      <c r="A45" s="15" t="s">
        <v>453</v>
      </c>
      <c r="B45" s="16">
        <f>B55+10</f>
        <v>120</v>
      </c>
      <c r="E45" s="9"/>
      <c r="F45" s="9"/>
    </row>
    <row r="46" spans="1:6" x14ac:dyDescent="0.3">
      <c r="A46" s="15" t="s">
        <v>579</v>
      </c>
      <c r="B46" s="16">
        <f>B38</f>
        <v>640</v>
      </c>
      <c r="E46" s="9"/>
      <c r="F46" s="9"/>
    </row>
    <row r="47" spans="1:6" x14ac:dyDescent="0.3">
      <c r="A47" s="15" t="s">
        <v>580</v>
      </c>
      <c r="B47" s="16">
        <f>B51+1*2000/B2</f>
        <v>5.833333333333333</v>
      </c>
      <c r="E47" s="9"/>
      <c r="F47" s="9"/>
    </row>
    <row r="48" spans="1:6" x14ac:dyDescent="0.3">
      <c r="A48" s="15" t="s">
        <v>454</v>
      </c>
      <c r="B48" s="16">
        <f>MAX(5*2000/B2, 10)</f>
        <v>10</v>
      </c>
      <c r="E48" s="9"/>
      <c r="F48" s="9"/>
    </row>
    <row r="49" spans="1:6" x14ac:dyDescent="0.3">
      <c r="A49" s="15" t="s">
        <v>581</v>
      </c>
      <c r="B49" s="16">
        <f>MAX(5*2000/B2,10)</f>
        <v>10</v>
      </c>
      <c r="E49" s="9"/>
      <c r="F49" s="9"/>
    </row>
    <row r="50" spans="1:6" x14ac:dyDescent="0.3">
      <c r="A50" s="15" t="s">
        <v>582</v>
      </c>
      <c r="B50" s="16">
        <f>MAX(4*2000/B2,6)</f>
        <v>6</v>
      </c>
      <c r="E50" s="9"/>
      <c r="F50" s="9"/>
    </row>
    <row r="51" spans="1:6" x14ac:dyDescent="0.3">
      <c r="A51" s="15" t="s">
        <v>455</v>
      </c>
      <c r="B51" s="16">
        <f>MAX(3*B10,5)</f>
        <v>5</v>
      </c>
      <c r="E51" s="9"/>
      <c r="F51" s="9"/>
    </row>
    <row r="52" spans="1:6" x14ac:dyDescent="0.3">
      <c r="A52" s="15" t="s">
        <v>456</v>
      </c>
      <c r="B52" s="16">
        <v>6</v>
      </c>
      <c r="E52" s="9"/>
      <c r="F52" s="9"/>
    </row>
    <row r="53" spans="1:6" x14ac:dyDescent="0.3">
      <c r="A53" s="15" t="s">
        <v>583</v>
      </c>
      <c r="B53" s="16">
        <v>260</v>
      </c>
      <c r="E53" s="9"/>
      <c r="F53" s="9"/>
    </row>
    <row r="54" spans="1:6" x14ac:dyDescent="0.3">
      <c r="A54" s="15" t="s">
        <v>584</v>
      </c>
      <c r="B54" s="16">
        <f>160</f>
        <v>160</v>
      </c>
      <c r="E54" s="9"/>
      <c r="F54" s="9"/>
    </row>
    <row r="55" spans="1:6" x14ac:dyDescent="0.3">
      <c r="A55" s="15" t="s">
        <v>585</v>
      </c>
      <c r="B55" s="16">
        <v>110</v>
      </c>
      <c r="E55" s="9"/>
      <c r="F55" s="9"/>
    </row>
    <row r="56" spans="1:6" x14ac:dyDescent="0.3">
      <c r="A56" s="15" t="s">
        <v>586</v>
      </c>
      <c r="B56" s="16">
        <f>FLOOR(((B16-3)/2),1)</f>
        <v>4</v>
      </c>
      <c r="C56" s="10"/>
      <c r="D56" s="10"/>
      <c r="E56" s="9"/>
      <c r="F56" s="9"/>
    </row>
    <row r="57" spans="1:6" x14ac:dyDescent="0.3">
      <c r="A57" s="15" t="s">
        <v>587</v>
      </c>
      <c r="B57" s="16">
        <f>FLOOR(((B17-3)/2),1)</f>
        <v>7</v>
      </c>
      <c r="C57" s="10"/>
      <c r="D57" s="10"/>
      <c r="E57" s="9"/>
      <c r="F57" s="9"/>
    </row>
    <row r="58" spans="1:6" x14ac:dyDescent="0.3">
      <c r="A58" s="15" t="s">
        <v>588</v>
      </c>
      <c r="B58" s="16">
        <v>6</v>
      </c>
      <c r="C58" s="10"/>
      <c r="D58" s="10"/>
      <c r="E58" s="9"/>
      <c r="F58" s="9"/>
    </row>
    <row r="59" spans="1:6" x14ac:dyDescent="0.3">
      <c r="A59" s="15" t="s">
        <v>589</v>
      </c>
      <c r="B59" s="16">
        <v>0</v>
      </c>
      <c r="C59" s="10"/>
      <c r="D59" s="10"/>
      <c r="E59" s="9"/>
      <c r="F59" s="9"/>
    </row>
    <row r="60" spans="1:6" x14ac:dyDescent="0.3">
      <c r="A60" s="15" t="s">
        <v>590</v>
      </c>
      <c r="B60" s="16">
        <v>32</v>
      </c>
      <c r="C60" s="10"/>
      <c r="D60" s="10"/>
      <c r="E60" s="9"/>
      <c r="F60" s="9"/>
    </row>
    <row r="61" spans="1:6" x14ac:dyDescent="0.3">
      <c r="A61" s="15" t="s">
        <v>591</v>
      </c>
      <c r="B61" s="16">
        <v>8</v>
      </c>
      <c r="C61" s="10"/>
      <c r="D61" s="10"/>
      <c r="E61" s="9"/>
      <c r="F61" s="9"/>
    </row>
    <row r="62" spans="1:6" x14ac:dyDescent="0.3">
      <c r="A62" s="15" t="s">
        <v>592</v>
      </c>
      <c r="B62" s="16">
        <v>3</v>
      </c>
      <c r="C62" s="10"/>
      <c r="D62" s="10"/>
      <c r="E62" s="9"/>
      <c r="F62" s="9"/>
    </row>
    <row r="63" spans="1:6" x14ac:dyDescent="0.3">
      <c r="A63" s="15" t="s">
        <v>593</v>
      </c>
      <c r="B63" s="16">
        <v>7</v>
      </c>
      <c r="C63" s="10"/>
      <c r="D63" s="10"/>
      <c r="E63" s="9"/>
      <c r="F63" s="9"/>
    </row>
    <row r="64" spans="1:6" x14ac:dyDescent="0.3">
      <c r="A64" s="13" t="s">
        <v>594</v>
      </c>
      <c r="B64" s="14" t="s">
        <v>457</v>
      </c>
      <c r="C64" s="13"/>
      <c r="D64" s="13"/>
      <c r="E64" s="14"/>
      <c r="F64" s="14"/>
    </row>
    <row r="65" spans="1:6" x14ac:dyDescent="0.3">
      <c r="A65" s="13" t="s">
        <v>595</v>
      </c>
      <c r="B65" s="14" t="s">
        <v>458</v>
      </c>
      <c r="C65" s="13"/>
      <c r="D65" s="13"/>
      <c r="E65" s="14"/>
      <c r="F65" s="14"/>
    </row>
    <row r="66" spans="1:6" x14ac:dyDescent="0.3">
      <c r="A66" s="13" t="s">
        <v>2</v>
      </c>
      <c r="B66" s="14" t="s">
        <v>596</v>
      </c>
      <c r="C66" s="13" t="s">
        <v>597</v>
      </c>
      <c r="D66" s="13" t="s">
        <v>598</v>
      </c>
      <c r="E66" s="14" t="s">
        <v>599</v>
      </c>
      <c r="F66" s="88" t="s">
        <v>1144</v>
      </c>
    </row>
    <row r="67" spans="1:6" x14ac:dyDescent="0.3">
      <c r="A67" s="3" t="s">
        <v>600</v>
      </c>
      <c r="B67" s="10" t="s">
        <v>601</v>
      </c>
      <c r="C67" s="9" t="s">
        <v>602</v>
      </c>
      <c r="D67" s="9" t="s">
        <v>459</v>
      </c>
      <c r="E67" s="10" t="s">
        <v>603</v>
      </c>
      <c r="F67" s="62"/>
    </row>
    <row r="68" spans="1:6" x14ac:dyDescent="0.3">
      <c r="C68" s="9" t="s">
        <v>604</v>
      </c>
      <c r="D68" s="9" t="s">
        <v>605</v>
      </c>
      <c r="E68" s="10" t="s">
        <v>606</v>
      </c>
      <c r="F68" s="62"/>
    </row>
    <row r="69" spans="1:6" x14ac:dyDescent="0.3">
      <c r="C69" s="9" t="s">
        <v>607</v>
      </c>
      <c r="D69" s="9" t="s">
        <v>608</v>
      </c>
      <c r="E69" s="10" t="s">
        <v>461</v>
      </c>
      <c r="F69" s="62"/>
    </row>
    <row r="70" spans="1:6" x14ac:dyDescent="0.3">
      <c r="C70" s="9" t="s">
        <v>609</v>
      </c>
      <c r="D70" s="9" t="s">
        <v>460</v>
      </c>
      <c r="E70" s="10" t="s">
        <v>461</v>
      </c>
      <c r="F70" s="62"/>
    </row>
    <row r="71" spans="1:6" x14ac:dyDescent="0.3">
      <c r="C71" s="9" t="s">
        <v>610</v>
      </c>
      <c r="D71" s="9" t="s">
        <v>307</v>
      </c>
      <c r="E71" s="10" t="s">
        <v>543</v>
      </c>
      <c r="F71" s="62"/>
    </row>
    <row r="72" spans="1:6" x14ac:dyDescent="0.3">
      <c r="C72" s="9" t="s">
        <v>611</v>
      </c>
      <c r="D72" s="9" t="s">
        <v>612</v>
      </c>
      <c r="E72" s="10" t="s">
        <v>613</v>
      </c>
      <c r="F72" s="62"/>
    </row>
    <row r="73" spans="1:6" x14ac:dyDescent="0.3">
      <c r="C73" s="9" t="s">
        <v>614</v>
      </c>
      <c r="D73" s="9" t="s">
        <v>462</v>
      </c>
      <c r="E73" s="10" t="s">
        <v>543</v>
      </c>
      <c r="F73" s="62"/>
    </row>
    <row r="74" spans="1:6" x14ac:dyDescent="0.3">
      <c r="C74" s="9" t="s">
        <v>463</v>
      </c>
      <c r="D74" s="9" t="s">
        <v>464</v>
      </c>
      <c r="E74" s="10" t="s">
        <v>461</v>
      </c>
      <c r="F74" s="62"/>
    </row>
    <row r="75" spans="1:6" x14ac:dyDescent="0.3">
      <c r="C75" s="9" t="s">
        <v>615</v>
      </c>
      <c r="D75" s="9" t="s">
        <v>616</v>
      </c>
      <c r="E75" s="10" t="s">
        <v>617</v>
      </c>
      <c r="F75" s="62"/>
    </row>
    <row r="76" spans="1:6" x14ac:dyDescent="0.3">
      <c r="A76" s="3" t="s">
        <v>466</v>
      </c>
      <c r="B76" s="10" t="s">
        <v>467</v>
      </c>
      <c r="C76" s="9" t="s">
        <v>618</v>
      </c>
      <c r="D76" s="9" t="s">
        <v>619</v>
      </c>
      <c r="E76" s="10" t="s">
        <v>461</v>
      </c>
      <c r="F76" s="62"/>
    </row>
    <row r="77" spans="1:6" x14ac:dyDescent="0.3">
      <c r="C77" s="9" t="s">
        <v>469</v>
      </c>
      <c r="D77" s="9" t="s">
        <v>620</v>
      </c>
      <c r="E77" s="10" t="s">
        <v>514</v>
      </c>
      <c r="F77" s="62"/>
    </row>
    <row r="78" spans="1:6" x14ac:dyDescent="0.3">
      <c r="C78" s="9" t="s">
        <v>621</v>
      </c>
      <c r="D78" s="9" t="s">
        <v>622</v>
      </c>
      <c r="E78" s="10" t="s">
        <v>289</v>
      </c>
      <c r="F78" s="62"/>
    </row>
    <row r="79" spans="1:6" x14ac:dyDescent="0.3">
      <c r="A79" s="3" t="s">
        <v>623</v>
      </c>
      <c r="B79" s="10" t="s">
        <v>624</v>
      </c>
      <c r="C79" s="9" t="s">
        <v>625</v>
      </c>
      <c r="D79" s="9" t="s">
        <v>626</v>
      </c>
      <c r="E79" s="10" t="s">
        <v>461</v>
      </c>
      <c r="F79" s="62"/>
    </row>
    <row r="80" spans="1:6" x14ac:dyDescent="0.3">
      <c r="A80" s="3" t="s">
        <v>470</v>
      </c>
      <c r="B80" s="10" t="s">
        <v>627</v>
      </c>
      <c r="C80" s="9" t="s">
        <v>628</v>
      </c>
      <c r="D80" s="9" t="s">
        <v>629</v>
      </c>
      <c r="E80" s="10" t="s">
        <v>780</v>
      </c>
      <c r="F80" s="62"/>
    </row>
    <row r="81" spans="1:6" x14ac:dyDescent="0.3">
      <c r="C81" s="9" t="s">
        <v>630</v>
      </c>
      <c r="D81" s="9" t="s">
        <v>631</v>
      </c>
      <c r="E81" s="10" t="s">
        <v>932</v>
      </c>
      <c r="F81" s="62"/>
    </row>
    <row r="82" spans="1:6" x14ac:dyDescent="0.3">
      <c r="A82" s="3" t="s">
        <v>471</v>
      </c>
      <c r="B82" s="10" t="s">
        <v>632</v>
      </c>
      <c r="C82" s="9" t="s">
        <v>633</v>
      </c>
      <c r="D82" s="9" t="s">
        <v>634</v>
      </c>
      <c r="E82" s="10" t="s">
        <v>635</v>
      </c>
      <c r="F82" s="62"/>
    </row>
    <row r="83" spans="1:6" x14ac:dyDescent="0.3">
      <c r="C83" s="9" t="s">
        <v>472</v>
      </c>
      <c r="D83" s="9" t="s">
        <v>288</v>
      </c>
      <c r="E83" s="10" t="s">
        <v>613</v>
      </c>
      <c r="F83" s="62"/>
    </row>
    <row r="84" spans="1:6" x14ac:dyDescent="0.3">
      <c r="C84" s="9" t="s">
        <v>636</v>
      </c>
      <c r="D84" s="9" t="s">
        <v>122</v>
      </c>
      <c r="E84" s="10" t="s">
        <v>637</v>
      </c>
      <c r="F84" s="62"/>
    </row>
    <row r="85" spans="1:6" x14ac:dyDescent="0.3">
      <c r="A85" s="3" t="s">
        <v>638</v>
      </c>
      <c r="B85" s="10" t="s">
        <v>639</v>
      </c>
      <c r="C85" s="9" t="s">
        <v>640</v>
      </c>
      <c r="D85" s="9" t="s">
        <v>641</v>
      </c>
      <c r="E85" s="10" t="s">
        <v>461</v>
      </c>
      <c r="F85" s="62"/>
    </row>
    <row r="86" spans="1:6" x14ac:dyDescent="0.3">
      <c r="C86" s="9" t="s">
        <v>473</v>
      </c>
      <c r="D86" s="9" t="s">
        <v>642</v>
      </c>
      <c r="E86" s="10" t="s">
        <v>108</v>
      </c>
      <c r="F86" s="62"/>
    </row>
    <row r="87" spans="1:6" x14ac:dyDescent="0.3">
      <c r="C87" s="9" t="s">
        <v>643</v>
      </c>
      <c r="D87" s="9" t="s">
        <v>644</v>
      </c>
      <c r="E87" s="9" t="str">
        <f>"0x"&amp;DEC2HEX((ROUNDUP((500000/(2000/B2)/2/1024), 0)))</f>
        <v>0x125</v>
      </c>
      <c r="F87" s="62"/>
    </row>
    <row r="88" spans="1:6" x14ac:dyDescent="0.3">
      <c r="A88" s="3" t="s">
        <v>645</v>
      </c>
      <c r="B88" s="10" t="s">
        <v>646</v>
      </c>
      <c r="C88" s="9" t="s">
        <v>474</v>
      </c>
      <c r="D88" s="9" t="s">
        <v>475</v>
      </c>
      <c r="E88" s="9" t="str">
        <f>"0x"&amp;DEC2HEX((ROUNDUP((B23/(2000/B2)/2/1024), 0)))</f>
        <v>0x76</v>
      </c>
      <c r="F88" s="62"/>
    </row>
    <row r="89" spans="1:6" x14ac:dyDescent="0.3">
      <c r="C89" s="9" t="s">
        <v>647</v>
      </c>
      <c r="D89" s="9" t="s">
        <v>648</v>
      </c>
      <c r="E89" s="10" t="s">
        <v>649</v>
      </c>
      <c r="F89" s="62"/>
    </row>
    <row r="90" spans="1:6" s="6" customFormat="1" x14ac:dyDescent="0.3">
      <c r="A90" s="3" t="s">
        <v>650</v>
      </c>
      <c r="B90" s="82" t="s">
        <v>651</v>
      </c>
      <c r="C90" s="11" t="s">
        <v>652</v>
      </c>
      <c r="D90" s="3" t="s">
        <v>653</v>
      </c>
      <c r="E90" s="12" t="str">
        <f>B3</f>
        <v>0x964</v>
      </c>
      <c r="F90" s="62" t="s">
        <v>1008</v>
      </c>
    </row>
    <row r="91" spans="1:6" x14ac:dyDescent="0.3">
      <c r="C91" s="9" t="s">
        <v>654</v>
      </c>
      <c r="D91" s="9" t="s">
        <v>655</v>
      </c>
      <c r="E91" s="12" t="str">
        <f>"0x"&amp;DEC2HEX(B4)</f>
        <v>0x101</v>
      </c>
      <c r="F91" s="62" t="s">
        <v>1009</v>
      </c>
    </row>
    <row r="92" spans="1:6" x14ac:dyDescent="0.3">
      <c r="A92" s="3" t="s">
        <v>656</v>
      </c>
      <c r="B92" s="10" t="s">
        <v>476</v>
      </c>
      <c r="C92" s="9" t="s">
        <v>657</v>
      </c>
      <c r="D92" s="9" t="s">
        <v>658</v>
      </c>
      <c r="E92" s="12" t="str">
        <f>B5</f>
        <v>0x18</v>
      </c>
      <c r="F92" s="62" t="s">
        <v>1010</v>
      </c>
    </row>
    <row r="93" spans="1:6" x14ac:dyDescent="0.3">
      <c r="C93" s="9" t="s">
        <v>659</v>
      </c>
      <c r="D93" s="9" t="s">
        <v>626</v>
      </c>
      <c r="E93" s="12" t="str">
        <f>B6</f>
        <v>0x200</v>
      </c>
      <c r="F93" s="62" t="s">
        <v>1011</v>
      </c>
    </row>
    <row r="94" spans="1:6" x14ac:dyDescent="0.3">
      <c r="A94" s="3" t="s">
        <v>477</v>
      </c>
      <c r="B94" s="10" t="s">
        <v>660</v>
      </c>
      <c r="C94" s="9" t="s">
        <v>661</v>
      </c>
      <c r="D94" s="9" t="s">
        <v>629</v>
      </c>
      <c r="E94" s="10" t="s">
        <v>931</v>
      </c>
      <c r="F94" s="62"/>
    </row>
    <row r="95" spans="1:6" x14ac:dyDescent="0.3">
      <c r="A95" s="3" t="s">
        <v>662</v>
      </c>
      <c r="B95" s="10" t="s">
        <v>478</v>
      </c>
      <c r="C95" s="9" t="s">
        <v>541</v>
      </c>
      <c r="D95" s="9" t="s">
        <v>658</v>
      </c>
      <c r="E95" s="10" t="str">
        <f>B7</f>
        <v>0x0</v>
      </c>
      <c r="F95" s="62" t="s">
        <v>1012</v>
      </c>
    </row>
    <row r="96" spans="1:6" x14ac:dyDescent="0.3">
      <c r="C96" s="9" t="s">
        <v>544</v>
      </c>
      <c r="D96" s="9" t="s">
        <v>626</v>
      </c>
      <c r="E96" s="10" t="str">
        <f t="shared" ref="E96:E97" si="0">B8</f>
        <v>0x400</v>
      </c>
      <c r="F96" s="62" t="s">
        <v>1013</v>
      </c>
    </row>
    <row r="97" spans="1:6" x14ac:dyDescent="0.3">
      <c r="A97" s="3" t="s">
        <v>663</v>
      </c>
      <c r="B97" s="10" t="s">
        <v>664</v>
      </c>
      <c r="C97" s="9" t="s">
        <v>546</v>
      </c>
      <c r="D97" s="9" t="s">
        <v>665</v>
      </c>
      <c r="E97" s="10" t="str">
        <f t="shared" si="0"/>
        <v>0x800</v>
      </c>
      <c r="F97" s="62" t="s">
        <v>1014</v>
      </c>
    </row>
    <row r="98" spans="1:6" x14ac:dyDescent="0.3">
      <c r="A98" s="3" t="s">
        <v>666</v>
      </c>
      <c r="B98" s="10" t="s">
        <v>667</v>
      </c>
      <c r="C98" s="9" t="s">
        <v>668</v>
      </c>
      <c r="D98" s="9" t="s">
        <v>669</v>
      </c>
      <c r="E98" s="10" t="s">
        <v>543</v>
      </c>
      <c r="F98" s="62"/>
    </row>
    <row r="99" spans="1:6" x14ac:dyDescent="0.3">
      <c r="C99" s="9" t="s">
        <v>670</v>
      </c>
      <c r="D99" s="9" t="s">
        <v>671</v>
      </c>
      <c r="E99" s="10" t="s">
        <v>543</v>
      </c>
      <c r="F99" s="62"/>
    </row>
    <row r="100" spans="1:6" x14ac:dyDescent="0.3">
      <c r="A100" s="3" t="s">
        <v>672</v>
      </c>
      <c r="B100" s="10" t="s">
        <v>673</v>
      </c>
      <c r="C100" s="9" t="s">
        <v>674</v>
      </c>
      <c r="D100" s="9" t="s">
        <v>675</v>
      </c>
      <c r="E100" s="9" t="str">
        <f>"0x"&amp;DEC2HEX((ROUNDUP((B10+B11+B14+B15/2+B37/(2000/B2))/2, 0)))</f>
        <v>0x11</v>
      </c>
      <c r="F100" s="62"/>
    </row>
    <row r="101" spans="1:6" x14ac:dyDescent="0.3">
      <c r="C101" s="9" t="s">
        <v>676</v>
      </c>
      <c r="D101" s="9" t="s">
        <v>677</v>
      </c>
      <c r="E101" s="9" t="str">
        <f>"0x"&amp;DEC2HEX(ROUNDUP(B33/(2000/B2)/2,0))</f>
        <v>0x12</v>
      </c>
      <c r="F101" s="62"/>
    </row>
    <row r="102" spans="1:6" x14ac:dyDescent="0.3">
      <c r="C102" s="15" t="s">
        <v>678</v>
      </c>
      <c r="D102" s="15" t="s">
        <v>679</v>
      </c>
      <c r="E102" s="15" t="str">
        <f>"0x"&amp;DEC2HEX(ROUNDDOWN((ROUNDDOWN(B27/(2000/B2)/1024,0)-1)/2,0))</f>
        <v>0x28</v>
      </c>
      <c r="F102" s="62"/>
    </row>
    <row r="103" spans="1:6" x14ac:dyDescent="0.3">
      <c r="C103" s="9" t="s">
        <v>680</v>
      </c>
      <c r="D103" s="9" t="s">
        <v>681</v>
      </c>
      <c r="E103" s="10" t="str">
        <f xml:space="preserve"> "0x"&amp;DEC2HEX(ROUNDUP(B26/(2000/B2)/2,0))</f>
        <v>0x14</v>
      </c>
      <c r="F103" s="62"/>
    </row>
    <row r="104" spans="1:6" x14ac:dyDescent="0.3">
      <c r="A104" s="3" t="s">
        <v>682</v>
      </c>
      <c r="B104" s="10" t="s">
        <v>683</v>
      </c>
      <c r="C104" s="9" t="s">
        <v>684</v>
      </c>
      <c r="D104" s="9" t="s">
        <v>25</v>
      </c>
      <c r="E104" s="10" t="str">
        <f>"0x"&amp;DEC2HEX(ROUNDUP(B50/(2000/B2)/2,0))</f>
        <v>0x4</v>
      </c>
      <c r="F104" s="62"/>
    </row>
    <row r="105" spans="1:6" x14ac:dyDescent="0.3">
      <c r="C105" s="9" t="s">
        <v>685</v>
      </c>
      <c r="D105" s="9" t="s">
        <v>686</v>
      </c>
      <c r="E105" s="10" t="str">
        <f>"0x"&amp;DEC2HEX(ROUNDUP(MAX((B10+MAX(B36,4)/(2000/B2)), ((B10+B11+B12)+B15/2-B25/(2000/B2)))/2,0))</f>
        <v>0x5</v>
      </c>
      <c r="F105" s="62"/>
    </row>
    <row r="106" spans="1:6" x14ac:dyDescent="0.3">
      <c r="C106" s="9" t="s">
        <v>687</v>
      </c>
      <c r="D106" s="9" t="s">
        <v>688</v>
      </c>
      <c r="E106" s="10" t="str">
        <f>"0x"&amp;DEC2HEX(ROUNDUP(B28/(2000/B2)/2,0))</f>
        <v>0x1C</v>
      </c>
      <c r="F106" s="62"/>
    </row>
    <row r="107" spans="1:6" x14ac:dyDescent="0.3">
      <c r="A107" s="3" t="s">
        <v>689</v>
      </c>
      <c r="B107" s="10" t="s">
        <v>690</v>
      </c>
      <c r="C107" s="9" t="s">
        <v>691</v>
      </c>
      <c r="D107" s="9" t="s">
        <v>692</v>
      </c>
      <c r="E107" s="10" t="str">
        <f>"0x"&amp;DEC2HEX(ROUNDUP((B10+B11+B14)/2,0))</f>
        <v>0x6</v>
      </c>
      <c r="F107" s="69"/>
    </row>
    <row r="108" spans="1:6" x14ac:dyDescent="0.3">
      <c r="C108" s="9" t="s">
        <v>693</v>
      </c>
      <c r="D108" s="9" t="s">
        <v>677</v>
      </c>
      <c r="E108" s="10" t="str">
        <f>"0x"&amp;DEC2HEX(ROUNDUP((B10+B11+B12)/2,0))</f>
        <v>0x9</v>
      </c>
      <c r="F108" s="69"/>
    </row>
    <row r="109" spans="1:6" x14ac:dyDescent="0.3">
      <c r="C109" s="9" t="s">
        <v>694</v>
      </c>
      <c r="D109" s="9" t="s">
        <v>686</v>
      </c>
      <c r="E109" s="9" t="str">
        <f>"0x"&amp;DEC2HEX(ROUNDUP((B10+B11+B12+B15/2+1+B22-B10-B11-B14)/2,0))</f>
        <v>0x6</v>
      </c>
      <c r="F109" s="62"/>
    </row>
    <row r="110" spans="1:6" x14ac:dyDescent="0.3">
      <c r="C110" s="9" t="s">
        <v>695</v>
      </c>
      <c r="D110" s="9" t="s">
        <v>681</v>
      </c>
      <c r="E110" s="9" t="str">
        <f>"0x"&amp;DEC2HEX(ROUNDUP((B14+B15/2+B35/(2000/B2))/2,0))</f>
        <v>0xD</v>
      </c>
      <c r="F110" s="62"/>
    </row>
    <row r="111" spans="1:6" x14ac:dyDescent="0.3">
      <c r="A111" s="3" t="s">
        <v>696</v>
      </c>
      <c r="B111" s="10" t="s">
        <v>697</v>
      </c>
      <c r="C111" s="9" t="s">
        <v>698</v>
      </c>
      <c r="D111" s="9" t="s">
        <v>699</v>
      </c>
      <c r="E111" s="10" t="str">
        <f>"0x"&amp;DEC2HEX(ROUNDUP(B39/(2000/B2)/2,0))</f>
        <v>0x4</v>
      </c>
      <c r="F111" s="62"/>
    </row>
    <row r="112" spans="1:6" x14ac:dyDescent="0.3">
      <c r="C112" s="9" t="s">
        <v>700</v>
      </c>
      <c r="D112" s="9" t="s">
        <v>701</v>
      </c>
      <c r="E112" s="10" t="str">
        <f>"0x"&amp;DEC2HEX(ROUNDUP(B40/(2000/B2)/2,0))</f>
        <v>0xC</v>
      </c>
      <c r="F112" s="62"/>
    </row>
    <row r="113" spans="1:6" x14ac:dyDescent="0.3">
      <c r="A113" s="3" t="s">
        <v>702</v>
      </c>
      <c r="B113" s="10" t="s">
        <v>703</v>
      </c>
      <c r="C113" s="9" t="s">
        <v>704</v>
      </c>
      <c r="D113" s="9" t="s">
        <v>705</v>
      </c>
      <c r="E113" s="10" t="str">
        <f>"0x"&amp;DEC2HEX(ROUNDUP((B24/(2000/B2)-B10)/2, 0))</f>
        <v>0x9</v>
      </c>
      <c r="F113" s="62"/>
    </row>
    <row r="114" spans="1:6" x14ac:dyDescent="0.3">
      <c r="C114" s="9" t="s">
        <v>706</v>
      </c>
      <c r="D114" s="9" t="s">
        <v>605</v>
      </c>
      <c r="E114" s="10" t="str">
        <f>"0x"&amp;DEC2HEX(ROUNDUP(B29/(2000/B2)/2,0))</f>
        <v>0x3</v>
      </c>
      <c r="F114" s="62"/>
    </row>
    <row r="115" spans="1:6" x14ac:dyDescent="0.3">
      <c r="C115" s="9" t="s">
        <v>707</v>
      </c>
      <c r="D115" s="9" t="s">
        <v>708</v>
      </c>
      <c r="E115" s="10" t="str">
        <f>"0x"&amp;DEC2HEX(ROUNDUP(B32/(2000/B2)/2,0))</f>
        <v>0x4</v>
      </c>
      <c r="F115" s="62"/>
    </row>
    <row r="116" spans="1:6" x14ac:dyDescent="0.3">
      <c r="C116" s="15" t="s">
        <v>709</v>
      </c>
      <c r="D116" s="15" t="s">
        <v>710</v>
      </c>
      <c r="E116" s="15" t="str">
        <f>"0x"&amp;DEC2HEX(ROUNDDOWN((ROUNDUP(B25/(2000/B2),0)/2),0)+1)</f>
        <v>0x9</v>
      </c>
      <c r="F116" s="62"/>
    </row>
    <row r="117" spans="1:6" x14ac:dyDescent="0.3">
      <c r="A117" s="3" t="s">
        <v>711</v>
      </c>
      <c r="B117" s="10" t="s">
        <v>712</v>
      </c>
      <c r="C117" s="9" t="s">
        <v>149</v>
      </c>
      <c r="D117" s="9" t="s">
        <v>713</v>
      </c>
      <c r="E117" s="10" t="str">
        <f>"0x"&amp;DEC2HEX(ROUNDUP(B49/(2000/B2)/2,0))</f>
        <v>0x6</v>
      </c>
      <c r="F117" s="62"/>
    </row>
    <row r="118" spans="1:6" x14ac:dyDescent="0.3">
      <c r="C118" s="9" t="s">
        <v>714</v>
      </c>
      <c r="D118" s="9" t="s">
        <v>605</v>
      </c>
      <c r="E118" s="10" t="str">
        <f>"0x"&amp;DEC2HEX(ROUNDUP(B48/(2000/B2)/2,0))</f>
        <v>0x6</v>
      </c>
      <c r="F118" s="62"/>
    </row>
    <row r="119" spans="1:6" x14ac:dyDescent="0.3">
      <c r="C119" s="9" t="s">
        <v>715</v>
      </c>
      <c r="D119" s="9" t="s">
        <v>686</v>
      </c>
      <c r="E119" s="10" t="str">
        <f>"0x"&amp;DEC2HEX(ROUNDUP((B51/(2000/B2)+1+B11)/2,0))</f>
        <v>0x4</v>
      </c>
      <c r="F119" s="62"/>
    </row>
    <row r="120" spans="1:6" x14ac:dyDescent="0.3">
      <c r="C120" s="9" t="s">
        <v>716</v>
      </c>
      <c r="D120" s="9" t="s">
        <v>631</v>
      </c>
      <c r="E120" s="10" t="str">
        <f>"0x"&amp;DEC2HEX(ROUNDUP(B51/(2000/B2)/2,0))</f>
        <v>0x3</v>
      </c>
      <c r="F120" s="62"/>
    </row>
    <row r="121" spans="1:6" x14ac:dyDescent="0.3">
      <c r="A121" s="3" t="s">
        <v>717</v>
      </c>
      <c r="B121" s="10" t="s">
        <v>718</v>
      </c>
      <c r="C121" s="9" t="s">
        <v>719</v>
      </c>
      <c r="D121" s="9" t="s">
        <v>679</v>
      </c>
      <c r="E121" s="10" t="str">
        <f>"0x"&amp;DEC2HEX(ROUNDUP(B46/(2000/B2)/64,0))</f>
        <v>0xC</v>
      </c>
      <c r="F121" s="62"/>
    </row>
    <row r="122" spans="1:6" x14ac:dyDescent="0.3">
      <c r="C122" s="9" t="s">
        <v>720</v>
      </c>
      <c r="D122" s="9" t="s">
        <v>688</v>
      </c>
      <c r="E122" s="10" t="str">
        <f>"0x"&amp;DEC2HEX(ROUNDUP(B44/(2000/B2)/64,0))</f>
        <v>0x6</v>
      </c>
      <c r="F122" s="62"/>
    </row>
    <row r="123" spans="1:6" x14ac:dyDescent="0.3">
      <c r="A123" s="3" t="s">
        <v>721</v>
      </c>
      <c r="B123" s="10" t="s">
        <v>722</v>
      </c>
      <c r="C123" s="9" t="s">
        <v>723</v>
      </c>
      <c r="D123" s="9" t="s">
        <v>725</v>
      </c>
      <c r="E123" s="10" t="str">
        <f>"0x"&amp;DEC2HEX(B22-1)</f>
        <v>0x0</v>
      </c>
      <c r="F123" s="62"/>
    </row>
    <row r="124" spans="1:6" x14ac:dyDescent="0.3">
      <c r="C124" s="9" t="s">
        <v>726</v>
      </c>
      <c r="D124" s="9" t="s">
        <v>677</v>
      </c>
      <c r="E124" s="10" t="str">
        <f>"0x"&amp;DEC2HEX(ROUNDUP(B30/(2000/B2)/2,0))</f>
        <v>0x2</v>
      </c>
      <c r="F124" s="27"/>
    </row>
    <row r="125" spans="1:6" x14ac:dyDescent="0.3">
      <c r="C125" s="9" t="s">
        <v>727</v>
      </c>
      <c r="D125" s="9" t="s">
        <v>708</v>
      </c>
      <c r="E125" s="10" t="str">
        <f>"0x"&amp;DEC2HEX(ROUNDUP(B31/(2000/B2)/2,0))</f>
        <v>0x4</v>
      </c>
      <c r="F125" s="27"/>
    </row>
    <row r="126" spans="1:6" x14ac:dyDescent="0.3">
      <c r="C126" s="9" t="s">
        <v>728</v>
      </c>
      <c r="D126" s="9" t="s">
        <v>681</v>
      </c>
      <c r="E126" s="10" t="str">
        <f>"0x"&amp;DEC2HEX(ROUNDUP((B14+B11+B15/2+B34/(2000/B2))/2, 0))</f>
        <v>0xA</v>
      </c>
      <c r="F126" s="27"/>
    </row>
    <row r="127" spans="1:6" x14ac:dyDescent="0.3">
      <c r="A127" s="3" t="s">
        <v>729</v>
      </c>
      <c r="B127" s="10" t="s">
        <v>730</v>
      </c>
      <c r="C127" s="9" t="s">
        <v>731</v>
      </c>
      <c r="D127" s="9" t="s">
        <v>619</v>
      </c>
      <c r="E127" s="10" t="s">
        <v>543</v>
      </c>
      <c r="F127" s="62"/>
    </row>
    <row r="128" spans="1:6" x14ac:dyDescent="0.3">
      <c r="C128" s="9" t="s">
        <v>732</v>
      </c>
      <c r="D128" s="9" t="s">
        <v>733</v>
      </c>
      <c r="E128" s="10" t="str">
        <f>"0x"&amp;DEC2HEX(ROUNDUP(B52/(2000/B2)/2/32, 0))</f>
        <v>0x1</v>
      </c>
      <c r="F128" s="62"/>
    </row>
    <row r="129" spans="1:6" x14ac:dyDescent="0.3">
      <c r="A129" s="3" t="s">
        <v>734</v>
      </c>
      <c r="B129" s="10" t="s">
        <v>735</v>
      </c>
      <c r="C129" s="9" t="s">
        <v>736</v>
      </c>
      <c r="D129" s="9" t="s">
        <v>737</v>
      </c>
      <c r="E129" s="10" t="str">
        <f>"0x"&amp;DEC2HEX(112)</f>
        <v>0x70</v>
      </c>
      <c r="F129" s="62"/>
    </row>
    <row r="130" spans="1:6" x14ac:dyDescent="0.3">
      <c r="A130" s="3" t="s">
        <v>738</v>
      </c>
      <c r="B130" s="10" t="s">
        <v>739</v>
      </c>
      <c r="C130" s="9" t="s">
        <v>740</v>
      </c>
      <c r="D130" s="9" t="s">
        <v>705</v>
      </c>
      <c r="E130" s="10" t="str">
        <f>"0x"&amp;DEC2HEX(B58)</f>
        <v>0x6</v>
      </c>
      <c r="F130" s="62"/>
    </row>
    <row r="131" spans="1:6" x14ac:dyDescent="0.3">
      <c r="C131" s="9" t="s">
        <v>741</v>
      </c>
      <c r="D131" s="9" t="s">
        <v>742</v>
      </c>
      <c r="E131" s="10" t="s">
        <v>543</v>
      </c>
      <c r="F131" s="62"/>
    </row>
    <row r="132" spans="1:6" x14ac:dyDescent="0.3">
      <c r="C132" s="9" t="s">
        <v>743</v>
      </c>
      <c r="D132" s="9" t="s">
        <v>744</v>
      </c>
      <c r="E132" s="10" t="str">
        <f>"0x"&amp;DEC2HEX(B57)</f>
        <v>0x7</v>
      </c>
      <c r="F132" s="62"/>
    </row>
    <row r="133" spans="1:6" x14ac:dyDescent="0.3">
      <c r="C133" s="9" t="s">
        <v>745</v>
      </c>
      <c r="D133" s="9" t="s">
        <v>746</v>
      </c>
      <c r="E133" s="10" t="s">
        <v>543</v>
      </c>
      <c r="F133" s="62"/>
    </row>
    <row r="134" spans="1:6" x14ac:dyDescent="0.3">
      <c r="C134" s="9" t="s">
        <v>747</v>
      </c>
      <c r="D134" s="9" t="s">
        <v>686</v>
      </c>
      <c r="E134" s="10" t="str">
        <f>"0x"&amp;DEC2HEX(B59)</f>
        <v>0x0</v>
      </c>
      <c r="F134" s="62"/>
    </row>
    <row r="135" spans="1:6" x14ac:dyDescent="0.3">
      <c r="C135" s="9" t="s">
        <v>748</v>
      </c>
      <c r="D135" s="9" t="s">
        <v>681</v>
      </c>
      <c r="E135" s="10" t="str">
        <f>"0x"&amp;DEC2HEX(B56)</f>
        <v>0x4</v>
      </c>
      <c r="F135" s="62"/>
    </row>
    <row r="136" spans="1:6" x14ac:dyDescent="0.3">
      <c r="A136" s="3" t="s">
        <v>749</v>
      </c>
      <c r="B136" s="10" t="s">
        <v>750</v>
      </c>
      <c r="C136" s="9" t="s">
        <v>751</v>
      </c>
      <c r="D136" s="9" t="s">
        <v>752</v>
      </c>
      <c r="E136" s="10" t="s">
        <v>461</v>
      </c>
      <c r="F136" s="62"/>
    </row>
    <row r="137" spans="1:6" x14ac:dyDescent="0.3">
      <c r="C137" s="9" t="s">
        <v>753</v>
      </c>
      <c r="D137" s="9" t="s">
        <v>754</v>
      </c>
      <c r="E137" s="10" t="s">
        <v>543</v>
      </c>
      <c r="F137" s="62"/>
    </row>
    <row r="138" spans="1:6" x14ac:dyDescent="0.3">
      <c r="C138" s="9" t="s">
        <v>755</v>
      </c>
      <c r="D138" s="9" t="s">
        <v>756</v>
      </c>
      <c r="E138" s="10" t="str">
        <f>"0x"&amp;DEC2HEX(B61)</f>
        <v>0x8</v>
      </c>
      <c r="F138" s="62"/>
    </row>
    <row r="139" spans="1:6" x14ac:dyDescent="0.3">
      <c r="C139" s="9" t="s">
        <v>757</v>
      </c>
      <c r="D139" s="9" t="s">
        <v>758</v>
      </c>
      <c r="E139" s="10" t="str">
        <f>"0x"&amp;DEC2HEX(B62)</f>
        <v>0x3</v>
      </c>
      <c r="F139" s="62"/>
    </row>
    <row r="140" spans="1:6" x14ac:dyDescent="0.3">
      <c r="C140" s="9" t="s">
        <v>759</v>
      </c>
      <c r="D140" s="9" t="s">
        <v>631</v>
      </c>
      <c r="E140" s="10" t="str">
        <f>"0x"&amp;DEC2HEX(B63)</f>
        <v>0x7</v>
      </c>
      <c r="F140" s="62"/>
    </row>
    <row r="141" spans="1:6" x14ac:dyDescent="0.3">
      <c r="A141" s="3" t="s">
        <v>760</v>
      </c>
      <c r="B141" s="10" t="s">
        <v>761</v>
      </c>
      <c r="C141" s="9" t="s">
        <v>762</v>
      </c>
      <c r="D141" s="9" t="s">
        <v>705</v>
      </c>
      <c r="E141" s="10" t="s">
        <v>763</v>
      </c>
      <c r="F141" s="62"/>
    </row>
    <row r="142" spans="1:6" x14ac:dyDescent="0.3">
      <c r="C142" s="9" t="s">
        <v>764</v>
      </c>
      <c r="D142" s="9" t="s">
        <v>765</v>
      </c>
      <c r="E142" s="10" t="s">
        <v>23</v>
      </c>
      <c r="F142" s="62"/>
    </row>
    <row r="143" spans="1:6" x14ac:dyDescent="0.3">
      <c r="C143" s="9" t="s">
        <v>766</v>
      </c>
      <c r="D143" s="9" t="s">
        <v>767</v>
      </c>
      <c r="E143" s="10" t="s">
        <v>543</v>
      </c>
      <c r="F143" s="62"/>
    </row>
    <row r="144" spans="1:6" x14ac:dyDescent="0.3">
      <c r="C144" s="9" t="s">
        <v>768</v>
      </c>
      <c r="D144" s="9" t="s">
        <v>769</v>
      </c>
      <c r="E144" s="10" t="s">
        <v>770</v>
      </c>
      <c r="F144" s="62"/>
    </row>
    <row r="145" spans="1:6" x14ac:dyDescent="0.3">
      <c r="C145" s="9" t="s">
        <v>771</v>
      </c>
      <c r="D145" s="9" t="s">
        <v>671</v>
      </c>
      <c r="E145" s="10" t="s">
        <v>543</v>
      </c>
      <c r="F145" s="62"/>
    </row>
    <row r="146" spans="1:6" x14ac:dyDescent="0.3">
      <c r="A146" s="3" t="s">
        <v>772</v>
      </c>
      <c r="B146" s="10" t="s">
        <v>773</v>
      </c>
      <c r="C146" s="9" t="s">
        <v>774</v>
      </c>
      <c r="D146" s="9" t="s">
        <v>468</v>
      </c>
      <c r="E146" s="10" t="s">
        <v>613</v>
      </c>
      <c r="F146" s="62"/>
    </row>
    <row r="147" spans="1:6" x14ac:dyDescent="0.3">
      <c r="C147" s="9" t="s">
        <v>775</v>
      </c>
      <c r="D147" s="9" t="s">
        <v>724</v>
      </c>
      <c r="E147" s="10" t="s">
        <v>613</v>
      </c>
      <c r="F147" s="62"/>
    </row>
    <row r="148" spans="1:6" x14ac:dyDescent="0.3">
      <c r="C148" s="9" t="s">
        <v>776</v>
      </c>
      <c r="D148" s="9" t="s">
        <v>777</v>
      </c>
      <c r="E148" s="10" t="s">
        <v>613</v>
      </c>
      <c r="F148" s="62"/>
    </row>
    <row r="149" spans="1:6" x14ac:dyDescent="0.3">
      <c r="C149" s="9" t="s">
        <v>778</v>
      </c>
      <c r="D149" s="9" t="s">
        <v>779</v>
      </c>
      <c r="E149" s="10" t="s">
        <v>780</v>
      </c>
      <c r="F149" s="62"/>
    </row>
    <row r="150" spans="1:6" x14ac:dyDescent="0.3">
      <c r="C150" s="9" t="s">
        <v>781</v>
      </c>
      <c r="D150" s="9" t="s">
        <v>701</v>
      </c>
      <c r="E150" s="10" t="s">
        <v>23</v>
      </c>
      <c r="F150" s="62"/>
    </row>
    <row r="151" spans="1:6" x14ac:dyDescent="0.3">
      <c r="A151" s="3" t="s">
        <v>782</v>
      </c>
      <c r="B151" s="10" t="s">
        <v>783</v>
      </c>
      <c r="C151" s="9" t="s">
        <v>784</v>
      </c>
      <c r="D151" s="9" t="s">
        <v>785</v>
      </c>
      <c r="E151" s="10" t="s">
        <v>786</v>
      </c>
      <c r="F151" s="62"/>
    </row>
    <row r="152" spans="1:6" x14ac:dyDescent="0.3">
      <c r="C152" s="9" t="s">
        <v>787</v>
      </c>
      <c r="D152" s="9" t="s">
        <v>733</v>
      </c>
      <c r="E152" s="10" t="s">
        <v>788</v>
      </c>
      <c r="F152" s="62"/>
    </row>
    <row r="153" spans="1:6" x14ac:dyDescent="0.3">
      <c r="A153" s="3" t="s">
        <v>789</v>
      </c>
      <c r="B153" s="10" t="s">
        <v>790</v>
      </c>
      <c r="C153" s="9" t="s">
        <v>791</v>
      </c>
      <c r="D153" s="9" t="s">
        <v>619</v>
      </c>
      <c r="E153" s="10" t="s">
        <v>543</v>
      </c>
      <c r="F153" s="62"/>
    </row>
    <row r="154" spans="1:6" x14ac:dyDescent="0.3">
      <c r="A154" s="3" t="s">
        <v>623</v>
      </c>
      <c r="B154" s="10" t="s">
        <v>624</v>
      </c>
      <c r="C154" s="9" t="s">
        <v>792</v>
      </c>
      <c r="D154" s="9" t="s">
        <v>665</v>
      </c>
      <c r="E154" s="10" t="s">
        <v>793</v>
      </c>
      <c r="F154" s="62"/>
    </row>
    <row r="155" spans="1:6" x14ac:dyDescent="0.3">
      <c r="A155" s="3" t="s">
        <v>794</v>
      </c>
      <c r="B155" s="10" t="s">
        <v>795</v>
      </c>
      <c r="C155" s="9" t="s">
        <v>796</v>
      </c>
      <c r="D155" s="9" t="s">
        <v>797</v>
      </c>
      <c r="E155" s="10" t="s">
        <v>543</v>
      </c>
      <c r="F155" s="62"/>
    </row>
    <row r="156" spans="1:6" x14ac:dyDescent="0.3">
      <c r="C156" s="9" t="s">
        <v>798</v>
      </c>
      <c r="D156" s="9" t="s">
        <v>799</v>
      </c>
      <c r="E156" s="10" t="s">
        <v>461</v>
      </c>
      <c r="F156" s="62"/>
    </row>
    <row r="157" spans="1:6" x14ac:dyDescent="0.3">
      <c r="C157" s="9" t="s">
        <v>800</v>
      </c>
      <c r="D157" s="9" t="s">
        <v>801</v>
      </c>
      <c r="E157" s="10" t="s">
        <v>543</v>
      </c>
      <c r="F157" s="62"/>
    </row>
    <row r="158" spans="1:6" x14ac:dyDescent="0.3">
      <c r="C158" s="9" t="s">
        <v>802</v>
      </c>
      <c r="D158" s="9" t="s">
        <v>669</v>
      </c>
      <c r="E158" s="10" t="s">
        <v>543</v>
      </c>
      <c r="F158" s="62"/>
    </row>
    <row r="159" spans="1:6" x14ac:dyDescent="0.3">
      <c r="C159" s="9" t="s">
        <v>803</v>
      </c>
      <c r="D159" s="9" t="s">
        <v>671</v>
      </c>
      <c r="E159" s="10" t="s">
        <v>461</v>
      </c>
      <c r="F159" s="62"/>
    </row>
    <row r="160" spans="1:6" x14ac:dyDescent="0.3">
      <c r="A160" s="3" t="s">
        <v>804</v>
      </c>
      <c r="B160" s="10" t="s">
        <v>805</v>
      </c>
      <c r="C160" s="9" t="s">
        <v>806</v>
      </c>
      <c r="D160" s="9" t="s">
        <v>765</v>
      </c>
      <c r="E160" s="10" t="s">
        <v>770</v>
      </c>
      <c r="F160" s="62"/>
    </row>
    <row r="161" spans="1:6" x14ac:dyDescent="0.3">
      <c r="C161" s="9" t="s">
        <v>807</v>
      </c>
      <c r="D161" s="9" t="s">
        <v>808</v>
      </c>
      <c r="E161" s="10" t="s">
        <v>809</v>
      </c>
      <c r="F161" s="62"/>
    </row>
    <row r="162" spans="1:6" x14ac:dyDescent="0.3">
      <c r="C162" s="9" t="s">
        <v>810</v>
      </c>
      <c r="D162" s="9" t="s">
        <v>811</v>
      </c>
      <c r="E162" s="10" t="s">
        <v>763</v>
      </c>
      <c r="F162" s="62"/>
    </row>
    <row r="163" spans="1:6" x14ac:dyDescent="0.3">
      <c r="C163" s="9" t="s">
        <v>812</v>
      </c>
      <c r="D163" s="9" t="s">
        <v>813</v>
      </c>
      <c r="E163" s="10" t="s">
        <v>613</v>
      </c>
      <c r="F163" s="62"/>
    </row>
    <row r="164" spans="1:6" x14ac:dyDescent="0.3">
      <c r="A164" s="3" t="s">
        <v>814</v>
      </c>
      <c r="B164" s="10" t="s">
        <v>815</v>
      </c>
      <c r="C164" s="9" t="s">
        <v>816</v>
      </c>
      <c r="D164" s="9" t="s">
        <v>669</v>
      </c>
      <c r="E164" s="10" t="s">
        <v>543</v>
      </c>
      <c r="F164" s="62"/>
    </row>
    <row r="165" spans="1:6" x14ac:dyDescent="0.3">
      <c r="C165" s="9" t="s">
        <v>817</v>
      </c>
      <c r="D165" s="9" t="s">
        <v>671</v>
      </c>
      <c r="E165" s="10" t="s">
        <v>543</v>
      </c>
      <c r="F165" s="62"/>
    </row>
    <row r="166" spans="1:6" ht="13.5" customHeight="1" x14ac:dyDescent="0.3">
      <c r="A166" s="3" t="s">
        <v>818</v>
      </c>
      <c r="B166" s="10" t="s">
        <v>819</v>
      </c>
      <c r="C166" s="9" t="s">
        <v>820</v>
      </c>
      <c r="D166" s="9" t="s">
        <v>634</v>
      </c>
      <c r="E166" s="9" t="str">
        <f>"0x"&amp;DEC2HEX(ROUNDDOWN((ROUNDDOWN((ROUNDDOWN(B20/(2000/B2),0))/2,0))/32, 0))</f>
        <v>0x92</v>
      </c>
      <c r="F166" s="62"/>
    </row>
    <row r="167" spans="1:6" x14ac:dyDescent="0.3">
      <c r="C167" s="9" t="s">
        <v>821</v>
      </c>
      <c r="D167" s="9" t="s">
        <v>701</v>
      </c>
      <c r="E167" s="9" t="str">
        <f>"0x"&amp;DEC2HEX(ROUNDUP(B53/(2000/B2)/2,0))</f>
        <v>0x9C</v>
      </c>
      <c r="F167" s="62"/>
    </row>
    <row r="168" spans="1:6" x14ac:dyDescent="0.3">
      <c r="A168" s="3" t="s">
        <v>822</v>
      </c>
      <c r="B168" s="10" t="s">
        <v>823</v>
      </c>
      <c r="C168" s="9" t="s">
        <v>824</v>
      </c>
      <c r="D168" s="9" t="s">
        <v>813</v>
      </c>
      <c r="E168" s="10" t="s">
        <v>613</v>
      </c>
      <c r="F168" s="62"/>
    </row>
    <row r="169" spans="1:6" x14ac:dyDescent="0.3">
      <c r="C169" s="9" t="s">
        <v>825</v>
      </c>
      <c r="D169" s="9" t="s">
        <v>669</v>
      </c>
      <c r="E169" s="10" t="s">
        <v>543</v>
      </c>
      <c r="F169" s="62"/>
    </row>
    <row r="170" spans="1:6" x14ac:dyDescent="0.3">
      <c r="C170" s="9" t="s">
        <v>480</v>
      </c>
      <c r="D170" s="9" t="s">
        <v>671</v>
      </c>
      <c r="E170" s="10" t="s">
        <v>543</v>
      </c>
      <c r="F170" s="62"/>
    </row>
    <row r="171" spans="1:6" x14ac:dyDescent="0.3">
      <c r="A171" s="3" t="s">
        <v>826</v>
      </c>
      <c r="B171" s="10" t="s">
        <v>827</v>
      </c>
      <c r="C171" s="9" t="s">
        <v>828</v>
      </c>
      <c r="D171" s="9" t="s">
        <v>619</v>
      </c>
      <c r="E171" s="10" t="s">
        <v>543</v>
      </c>
      <c r="F171" s="62"/>
    </row>
    <row r="172" spans="1:6" x14ac:dyDescent="0.3">
      <c r="C172" s="9" t="s">
        <v>829</v>
      </c>
      <c r="D172" s="9" t="s">
        <v>725</v>
      </c>
      <c r="E172" s="10" t="s">
        <v>21</v>
      </c>
      <c r="F172" s="62"/>
    </row>
    <row r="173" spans="1:6" x14ac:dyDescent="0.3">
      <c r="C173" s="9" t="s">
        <v>830</v>
      </c>
      <c r="D173" s="9" t="s">
        <v>777</v>
      </c>
      <c r="E173" s="10" t="s">
        <v>461</v>
      </c>
      <c r="F173" s="62"/>
    </row>
    <row r="174" spans="1:6" x14ac:dyDescent="0.3">
      <c r="C174" s="9" t="s">
        <v>831</v>
      </c>
      <c r="D174" s="9" t="s">
        <v>832</v>
      </c>
      <c r="E174" s="9" t="str">
        <f>"0x"&amp;DEC2HEX(ROUNDUP(B41/(2000/B2)/2,0))</f>
        <v>0x100</v>
      </c>
      <c r="F174" s="62"/>
    </row>
    <row r="175" spans="1:6" x14ac:dyDescent="0.3">
      <c r="C175" s="9" t="s">
        <v>833</v>
      </c>
      <c r="D175" s="9" t="s">
        <v>701</v>
      </c>
      <c r="E175" s="9" t="str">
        <f>"0x"&amp;DEC2HEX(ROUNDUP(B42/(2000/B2)/2,0))</f>
        <v>0x40</v>
      </c>
      <c r="F175" s="62"/>
    </row>
    <row r="176" spans="1:6" x14ac:dyDescent="0.3">
      <c r="A176" s="3" t="s">
        <v>760</v>
      </c>
      <c r="B176" s="10" t="s">
        <v>761</v>
      </c>
      <c r="C176" s="9" t="s">
        <v>762</v>
      </c>
      <c r="D176" s="9" t="s">
        <v>705</v>
      </c>
      <c r="E176" s="10" t="s">
        <v>763</v>
      </c>
      <c r="F176" s="62"/>
    </row>
    <row r="177" spans="1:6" x14ac:dyDescent="0.3">
      <c r="C177" s="9" t="s">
        <v>764</v>
      </c>
      <c r="D177" s="9" t="s">
        <v>765</v>
      </c>
      <c r="E177" s="10" t="s">
        <v>23</v>
      </c>
      <c r="F177" s="62"/>
    </row>
    <row r="178" spans="1:6" x14ac:dyDescent="0.3">
      <c r="C178" s="9" t="s">
        <v>766</v>
      </c>
      <c r="D178" s="9" t="s">
        <v>767</v>
      </c>
      <c r="E178" s="10" t="s">
        <v>543</v>
      </c>
      <c r="F178" s="62"/>
    </row>
    <row r="179" spans="1:6" x14ac:dyDescent="0.3">
      <c r="C179" s="9" t="s">
        <v>768</v>
      </c>
      <c r="D179" s="9" t="s">
        <v>834</v>
      </c>
      <c r="E179" s="10" t="s">
        <v>770</v>
      </c>
      <c r="F179" s="62"/>
    </row>
    <row r="180" spans="1:6" x14ac:dyDescent="0.3">
      <c r="C180" s="9" t="s">
        <v>771</v>
      </c>
      <c r="D180" s="9" t="s">
        <v>122</v>
      </c>
      <c r="E180" s="10" t="s">
        <v>543</v>
      </c>
      <c r="F180" s="62"/>
    </row>
    <row r="181" spans="1:6" x14ac:dyDescent="0.3">
      <c r="A181" s="3" t="s">
        <v>835</v>
      </c>
      <c r="B181" s="10" t="s">
        <v>836</v>
      </c>
      <c r="C181" s="9" t="s">
        <v>837</v>
      </c>
      <c r="D181" s="9" t="s">
        <v>758</v>
      </c>
      <c r="E181" s="10" t="s">
        <v>543</v>
      </c>
      <c r="F181" s="62"/>
    </row>
    <row r="182" spans="1:6" x14ac:dyDescent="0.3">
      <c r="C182" s="9" t="s">
        <v>838</v>
      </c>
      <c r="D182" s="9" t="s">
        <v>799</v>
      </c>
      <c r="E182" s="10" t="s">
        <v>461</v>
      </c>
      <c r="F182" s="62"/>
    </row>
    <row r="183" spans="1:6" x14ac:dyDescent="0.3">
      <c r="C183" s="9" t="s">
        <v>839</v>
      </c>
      <c r="D183" s="9" t="s">
        <v>840</v>
      </c>
      <c r="E183" s="10" t="s">
        <v>543</v>
      </c>
      <c r="F183" s="62"/>
    </row>
    <row r="184" spans="1:6" x14ac:dyDescent="0.3">
      <c r="C184" s="9" t="s">
        <v>841</v>
      </c>
      <c r="D184" s="9" t="s">
        <v>122</v>
      </c>
      <c r="E184" s="10" t="s">
        <v>289</v>
      </c>
      <c r="F184" s="62"/>
    </row>
    <row r="185" spans="1:6" x14ac:dyDescent="0.3">
      <c r="A185" s="3" t="s">
        <v>842</v>
      </c>
      <c r="B185" s="10" t="s">
        <v>843</v>
      </c>
      <c r="C185" s="9" t="s">
        <v>844</v>
      </c>
      <c r="D185" s="9" t="s">
        <v>671</v>
      </c>
      <c r="E185" s="10" t="s">
        <v>461</v>
      </c>
      <c r="F185" s="62"/>
    </row>
    <row r="186" spans="1:6" x14ac:dyDescent="0.3">
      <c r="A186" s="11" t="s">
        <v>845</v>
      </c>
      <c r="B186" s="10" t="s">
        <v>846</v>
      </c>
      <c r="C186" s="9" t="s">
        <v>482</v>
      </c>
      <c r="D186" s="9" t="s">
        <v>669</v>
      </c>
      <c r="E186" s="10" t="s">
        <v>543</v>
      </c>
      <c r="F186" s="62"/>
    </row>
    <row r="187" spans="1:6" x14ac:dyDescent="0.3">
      <c r="A187" s="11"/>
      <c r="C187" s="9" t="s">
        <v>847</v>
      </c>
      <c r="D187" s="9" t="s">
        <v>122</v>
      </c>
      <c r="E187" s="10" t="s">
        <v>543</v>
      </c>
      <c r="F187" s="62"/>
    </row>
    <row r="188" spans="1:6" x14ac:dyDescent="0.3">
      <c r="A188" s="11" t="s">
        <v>848</v>
      </c>
      <c r="B188" s="10" t="s">
        <v>849</v>
      </c>
      <c r="C188" s="9" t="s">
        <v>850</v>
      </c>
      <c r="D188" s="9" t="s">
        <v>799</v>
      </c>
      <c r="E188" s="10" t="s">
        <v>543</v>
      </c>
      <c r="F188" s="62"/>
    </row>
    <row r="189" spans="1:6" x14ac:dyDescent="0.3">
      <c r="A189" s="11"/>
      <c r="C189" s="9" t="s">
        <v>851</v>
      </c>
      <c r="D189" s="9" t="s">
        <v>840</v>
      </c>
      <c r="E189" s="10" t="s">
        <v>543</v>
      </c>
      <c r="F189" s="62"/>
    </row>
    <row r="190" spans="1:6" x14ac:dyDescent="0.3">
      <c r="A190" s="11"/>
      <c r="C190" s="9" t="s">
        <v>852</v>
      </c>
      <c r="D190" s="9" t="s">
        <v>671</v>
      </c>
      <c r="E190" s="10" t="s">
        <v>543</v>
      </c>
      <c r="F190" s="62"/>
    </row>
    <row r="191" spans="1:6" x14ac:dyDescent="0.3">
      <c r="A191" s="11" t="s">
        <v>853</v>
      </c>
      <c r="B191" s="10" t="s">
        <v>854</v>
      </c>
      <c r="C191" s="9" t="s">
        <v>855</v>
      </c>
      <c r="D191" s="9" t="s">
        <v>856</v>
      </c>
      <c r="E191" s="10" t="s">
        <v>543</v>
      </c>
      <c r="F191" s="62"/>
    </row>
    <row r="192" spans="1:6" x14ac:dyDescent="0.3">
      <c r="A192" s="11"/>
      <c r="C192" s="9" t="s">
        <v>857</v>
      </c>
      <c r="D192" s="9" t="s">
        <v>858</v>
      </c>
      <c r="E192" s="10" t="s">
        <v>613</v>
      </c>
      <c r="F192" s="62"/>
    </row>
    <row r="193" spans="1:6" x14ac:dyDescent="0.3">
      <c r="C193" s="9" t="s">
        <v>859</v>
      </c>
      <c r="D193" s="9" t="s">
        <v>767</v>
      </c>
      <c r="E193" s="10" t="s">
        <v>289</v>
      </c>
      <c r="F193" s="62"/>
    </row>
    <row r="194" spans="1:6" x14ac:dyDescent="0.3">
      <c r="C194" s="9" t="s">
        <v>860</v>
      </c>
      <c r="D194" s="9" t="s">
        <v>861</v>
      </c>
      <c r="E194" s="10" t="s">
        <v>543</v>
      </c>
      <c r="F194" s="62"/>
    </row>
    <row r="195" spans="1:6" x14ac:dyDescent="0.3">
      <c r="C195" s="9" t="s">
        <v>862</v>
      </c>
      <c r="D195" s="9" t="s">
        <v>481</v>
      </c>
      <c r="E195" s="10" t="s">
        <v>613</v>
      </c>
      <c r="F195" s="62"/>
    </row>
    <row r="196" spans="1:6" x14ac:dyDescent="0.3">
      <c r="C196" s="9" t="s">
        <v>863</v>
      </c>
      <c r="D196" s="9" t="s">
        <v>671</v>
      </c>
      <c r="E196" s="10" t="s">
        <v>613</v>
      </c>
      <c r="F196" s="62"/>
    </row>
    <row r="197" spans="1:6" x14ac:dyDescent="0.3">
      <c r="A197" s="3" t="s">
        <v>864</v>
      </c>
      <c r="B197" s="10" t="s">
        <v>865</v>
      </c>
      <c r="C197" s="9" t="s">
        <v>866</v>
      </c>
      <c r="D197" s="9" t="s">
        <v>713</v>
      </c>
      <c r="E197" s="10" t="str">
        <f>"0x"&amp;DEC2HEX(5+B22)</f>
        <v>0x6</v>
      </c>
      <c r="F197" s="62"/>
    </row>
    <row r="198" spans="1:6" x14ac:dyDescent="0.3">
      <c r="C198" s="9" t="s">
        <v>867</v>
      </c>
      <c r="D198" s="9" t="s">
        <v>756</v>
      </c>
      <c r="E198" s="10" t="str">
        <f>E136</f>
        <v>0x0</v>
      </c>
      <c r="F198" s="62"/>
    </row>
    <row r="199" spans="1:6" x14ac:dyDescent="0.3">
      <c r="C199" s="9" t="s">
        <v>868</v>
      </c>
      <c r="D199" s="9" t="s">
        <v>708</v>
      </c>
      <c r="E199" s="10" t="str">
        <f>"0x"&amp;DEC2HEX(5+B21)</f>
        <v>0x6</v>
      </c>
      <c r="F199" s="62"/>
    </row>
    <row r="200" spans="1:6" x14ac:dyDescent="0.3">
      <c r="C200" s="9" t="s">
        <v>869</v>
      </c>
      <c r="D200" s="9" t="s">
        <v>870</v>
      </c>
      <c r="E200" s="10" t="str">
        <f>"0x"&amp;DEC2HEX((B12-B14-B21+B22))</f>
        <v>0x5</v>
      </c>
      <c r="F200" s="62"/>
    </row>
    <row r="201" spans="1:6" x14ac:dyDescent="0.3">
      <c r="A201" s="3" t="s">
        <v>871</v>
      </c>
      <c r="B201" s="10" t="s">
        <v>42</v>
      </c>
      <c r="C201" s="9" t="s">
        <v>872</v>
      </c>
      <c r="D201" s="9" t="s">
        <v>769</v>
      </c>
      <c r="E201" s="10" t="s">
        <v>613</v>
      </c>
      <c r="F201" s="62"/>
    </row>
    <row r="202" spans="1:6" x14ac:dyDescent="0.3">
      <c r="C202" s="9" t="s">
        <v>873</v>
      </c>
      <c r="D202" s="9" t="s">
        <v>648</v>
      </c>
      <c r="E202" s="10" t="s">
        <v>613</v>
      </c>
      <c r="F202" s="62"/>
    </row>
    <row r="203" spans="1:6" x14ac:dyDescent="0.3">
      <c r="A203" s="3" t="s">
        <v>874</v>
      </c>
      <c r="B203" s="10" t="s">
        <v>875</v>
      </c>
      <c r="C203" s="9" t="s">
        <v>876</v>
      </c>
      <c r="D203" s="9" t="s">
        <v>671</v>
      </c>
      <c r="E203" s="10" t="s">
        <v>613</v>
      </c>
      <c r="F203" s="62"/>
    </row>
    <row r="204" spans="1:6" x14ac:dyDescent="0.3">
      <c r="A204" s="11" t="s">
        <v>877</v>
      </c>
      <c r="B204" s="10" t="s">
        <v>878</v>
      </c>
      <c r="C204" s="9" t="s">
        <v>876</v>
      </c>
      <c r="D204" s="9" t="s">
        <v>671</v>
      </c>
      <c r="E204" s="10" t="s">
        <v>613</v>
      </c>
      <c r="F204" s="62"/>
    </row>
    <row r="205" spans="1:6" x14ac:dyDescent="0.3">
      <c r="A205" s="11" t="s">
        <v>879</v>
      </c>
      <c r="B205" s="10" t="s">
        <v>880</v>
      </c>
      <c r="C205" s="9" t="s">
        <v>483</v>
      </c>
      <c r="D205" s="9" t="s">
        <v>671</v>
      </c>
      <c r="E205" s="10" t="s">
        <v>613</v>
      </c>
      <c r="F205" s="62"/>
    </row>
    <row r="206" spans="1:6" x14ac:dyDescent="0.3">
      <c r="A206" s="11" t="s">
        <v>484</v>
      </c>
      <c r="B206" s="10" t="s">
        <v>881</v>
      </c>
      <c r="C206" s="9" t="s">
        <v>876</v>
      </c>
      <c r="D206" s="9" t="s">
        <v>671</v>
      </c>
      <c r="E206" s="10" t="s">
        <v>289</v>
      </c>
      <c r="F206" s="62"/>
    </row>
    <row r="207" spans="1:6" x14ac:dyDescent="0.3">
      <c r="A207" s="11" t="s">
        <v>485</v>
      </c>
      <c r="B207" s="10" t="s">
        <v>882</v>
      </c>
      <c r="C207" s="9" t="s">
        <v>876</v>
      </c>
      <c r="D207" s="9" t="s">
        <v>671</v>
      </c>
      <c r="E207" s="10" t="s">
        <v>613</v>
      </c>
      <c r="F207" s="62"/>
    </row>
    <row r="208" spans="1:6" x14ac:dyDescent="0.3">
      <c r="A208" s="11" t="s">
        <v>883</v>
      </c>
      <c r="B208" s="10" t="s">
        <v>884</v>
      </c>
      <c r="C208" s="9" t="s">
        <v>876</v>
      </c>
      <c r="D208" s="9" t="s">
        <v>671</v>
      </c>
      <c r="E208" s="10" t="s">
        <v>613</v>
      </c>
      <c r="F208" s="62"/>
    </row>
    <row r="209" spans="1:6" x14ac:dyDescent="0.3">
      <c r="A209" s="11" t="s">
        <v>885</v>
      </c>
      <c r="B209" s="10" t="s">
        <v>886</v>
      </c>
      <c r="C209" s="9" t="s">
        <v>876</v>
      </c>
      <c r="D209" s="9" t="s">
        <v>671</v>
      </c>
      <c r="E209" s="10" t="s">
        <v>613</v>
      </c>
      <c r="F209" s="62"/>
    </row>
    <row r="210" spans="1:6" x14ac:dyDescent="0.3">
      <c r="A210" s="11" t="s">
        <v>887</v>
      </c>
      <c r="B210" s="10" t="s">
        <v>888</v>
      </c>
      <c r="C210" s="9" t="s">
        <v>876</v>
      </c>
      <c r="D210" s="9" t="s">
        <v>671</v>
      </c>
      <c r="E210" s="10" t="s">
        <v>613</v>
      </c>
      <c r="F210" s="80" t="s">
        <v>1136</v>
      </c>
    </row>
    <row r="211" spans="1:6" x14ac:dyDescent="0.3">
      <c r="A211" s="11"/>
    </row>
    <row r="212" spans="1:6" x14ac:dyDescent="0.3">
      <c r="A21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G235"/>
  <sheetViews>
    <sheetView zoomScaleNormal="100" workbookViewId="0">
      <selection activeCell="F15" sqref="F15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34.58203125" style="9" customWidth="1"/>
    <col min="4" max="4" width="7.58203125" style="9" customWidth="1"/>
    <col min="5" max="5" width="12.58203125" style="10" customWidth="1"/>
    <col min="6" max="6" width="25.5" style="7" customWidth="1"/>
    <col min="7" max="7" width="14.58203125" style="7" customWidth="1"/>
    <col min="8" max="16384" width="9" style="7"/>
  </cols>
  <sheetData>
    <row r="1" spans="1:7" x14ac:dyDescent="0.3">
      <c r="A1" s="13" t="s">
        <v>0</v>
      </c>
      <c r="B1" s="13" t="s">
        <v>86</v>
      </c>
      <c r="C1" s="13"/>
      <c r="D1" s="13"/>
      <c r="E1" s="14"/>
      <c r="F1" s="14"/>
    </row>
    <row r="2" spans="1:7" x14ac:dyDescent="0.3">
      <c r="A2" s="13" t="s">
        <v>1</v>
      </c>
      <c r="B2" s="13" t="s">
        <v>96</v>
      </c>
      <c r="C2" s="13"/>
      <c r="D2" s="13"/>
      <c r="E2" s="14"/>
      <c r="F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1144</v>
      </c>
    </row>
    <row r="4" spans="1:7" x14ac:dyDescent="0.3">
      <c r="A4" s="3" t="s">
        <v>88</v>
      </c>
      <c r="B4" s="9" t="s">
        <v>89</v>
      </c>
      <c r="C4" s="9" t="s">
        <v>90</v>
      </c>
      <c r="D4" s="9" t="s">
        <v>91</v>
      </c>
      <c r="E4" s="70" t="s">
        <v>461</v>
      </c>
      <c r="F4" s="80" t="s">
        <v>1136</v>
      </c>
    </row>
    <row r="5" spans="1:7" ht="14.5" thickBot="1" x14ac:dyDescent="0.35">
      <c r="A5" s="23" t="s">
        <v>92</v>
      </c>
      <c r="B5" s="21" t="s">
        <v>93</v>
      </c>
      <c r="C5" s="21" t="s">
        <v>94</v>
      </c>
      <c r="D5" s="21" t="s">
        <v>91</v>
      </c>
      <c r="E5" s="71" t="s">
        <v>1146</v>
      </c>
      <c r="F5" s="80" t="s">
        <v>1136</v>
      </c>
    </row>
    <row r="6" spans="1:7" x14ac:dyDescent="0.3">
      <c r="A6" s="18" t="s">
        <v>28</v>
      </c>
      <c r="B6" s="19" t="s">
        <v>29</v>
      </c>
      <c r="C6" s="9" t="s">
        <v>486</v>
      </c>
      <c r="D6" s="9" t="s">
        <v>487</v>
      </c>
      <c r="E6" s="10" t="s">
        <v>488</v>
      </c>
      <c r="F6" s="8"/>
      <c r="G6" s="8"/>
    </row>
    <row r="7" spans="1:7" x14ac:dyDescent="0.3">
      <c r="C7" s="9" t="s">
        <v>489</v>
      </c>
      <c r="D7" s="9" t="s">
        <v>479</v>
      </c>
      <c r="E7" s="10" t="s">
        <v>490</v>
      </c>
      <c r="F7" s="8"/>
      <c r="G7" s="8"/>
    </row>
    <row r="8" spans="1:7" x14ac:dyDescent="0.3">
      <c r="C8" s="9" t="s">
        <v>491</v>
      </c>
      <c r="D8" s="9" t="s">
        <v>465</v>
      </c>
      <c r="E8" s="10" t="s">
        <v>490</v>
      </c>
      <c r="F8" s="8"/>
      <c r="G8" s="8"/>
    </row>
    <row r="9" spans="1:7" x14ac:dyDescent="0.3">
      <c r="A9" s="3" t="s">
        <v>30</v>
      </c>
      <c r="B9" s="9" t="s">
        <v>31</v>
      </c>
      <c r="C9" s="9" t="s">
        <v>32</v>
      </c>
      <c r="D9" s="9" t="s">
        <v>7</v>
      </c>
      <c r="E9" s="10" t="s">
        <v>289</v>
      </c>
      <c r="F9" s="8"/>
      <c r="G9" s="8"/>
    </row>
    <row r="10" spans="1:7" x14ac:dyDescent="0.3">
      <c r="C10" s="9" t="s">
        <v>492</v>
      </c>
      <c r="D10" s="9" t="s">
        <v>493</v>
      </c>
      <c r="E10" s="10" t="s">
        <v>494</v>
      </c>
      <c r="F10" s="8"/>
      <c r="G10" s="8"/>
    </row>
    <row r="11" spans="1:7" x14ac:dyDescent="0.3">
      <c r="C11" s="9" t="s">
        <v>495</v>
      </c>
      <c r="D11" s="9" t="s">
        <v>496</v>
      </c>
      <c r="E11" s="10" t="s">
        <v>289</v>
      </c>
      <c r="F11" s="8"/>
      <c r="G11" s="8"/>
    </row>
    <row r="12" spans="1:7" x14ac:dyDescent="0.3">
      <c r="C12" s="9" t="s">
        <v>497</v>
      </c>
      <c r="D12" s="9" t="s">
        <v>498</v>
      </c>
      <c r="E12" s="10" t="s">
        <v>499</v>
      </c>
      <c r="F12" s="8"/>
      <c r="G12" s="8"/>
    </row>
    <row r="13" spans="1:7" x14ac:dyDescent="0.3">
      <c r="A13" s="3" t="s">
        <v>33</v>
      </c>
      <c r="B13" s="9" t="s">
        <v>34</v>
      </c>
      <c r="C13" s="9" t="s">
        <v>500</v>
      </c>
      <c r="D13" s="9" t="s">
        <v>501</v>
      </c>
      <c r="E13" s="10" t="s">
        <v>494</v>
      </c>
      <c r="F13" s="8"/>
      <c r="G13" s="8"/>
    </row>
    <row r="14" spans="1:7" x14ac:dyDescent="0.3">
      <c r="C14" s="9" t="s">
        <v>502</v>
      </c>
      <c r="D14" s="9" t="s">
        <v>503</v>
      </c>
      <c r="E14" s="10" t="s">
        <v>504</v>
      </c>
      <c r="F14" s="8"/>
      <c r="G14" s="8"/>
    </row>
    <row r="15" spans="1:7" x14ac:dyDescent="0.3">
      <c r="C15" s="9" t="s">
        <v>505</v>
      </c>
      <c r="D15" s="9" t="s">
        <v>506</v>
      </c>
      <c r="E15" s="10" t="s">
        <v>494</v>
      </c>
      <c r="F15" s="8"/>
      <c r="G15" s="8"/>
    </row>
    <row r="16" spans="1:7" x14ac:dyDescent="0.3">
      <c r="C16" s="9" t="s">
        <v>507</v>
      </c>
      <c r="D16" s="9" t="s">
        <v>508</v>
      </c>
      <c r="E16" s="10" t="s">
        <v>494</v>
      </c>
      <c r="F16" s="8"/>
      <c r="G16" s="8"/>
    </row>
    <row r="17" spans="1:7" x14ac:dyDescent="0.3">
      <c r="A17" s="3" t="s">
        <v>35</v>
      </c>
      <c r="B17" s="9" t="s">
        <v>36</v>
      </c>
      <c r="C17" s="9" t="s">
        <v>509</v>
      </c>
      <c r="D17" s="9" t="s">
        <v>510</v>
      </c>
      <c r="E17" s="63" t="str">
        <f>"0x"&amp;DEC2HEX(31)</f>
        <v>0x1F</v>
      </c>
      <c r="F17" s="8"/>
      <c r="G17" s="8"/>
    </row>
    <row r="18" spans="1:7" x14ac:dyDescent="0.3">
      <c r="C18" s="9" t="s">
        <v>511</v>
      </c>
      <c r="D18" s="9" t="s">
        <v>508</v>
      </c>
      <c r="E18" s="63" t="str">
        <f>"0x"&amp;DEC2HEX(31)</f>
        <v>0x1F</v>
      </c>
      <c r="F18" s="8"/>
      <c r="G18" s="8"/>
    </row>
    <row r="19" spans="1:7" x14ac:dyDescent="0.3">
      <c r="A19" s="3" t="s">
        <v>37</v>
      </c>
      <c r="B19" s="9" t="s">
        <v>38</v>
      </c>
      <c r="C19" s="9" t="s">
        <v>512</v>
      </c>
      <c r="D19" s="9" t="s">
        <v>513</v>
      </c>
      <c r="E19" s="10" t="s">
        <v>515</v>
      </c>
      <c r="F19" s="8"/>
      <c r="G19" s="8"/>
    </row>
    <row r="20" spans="1:7" x14ac:dyDescent="0.3">
      <c r="C20" s="9" t="s">
        <v>516</v>
      </c>
      <c r="D20" s="9" t="s">
        <v>517</v>
      </c>
      <c r="E20" s="10" t="s">
        <v>518</v>
      </c>
      <c r="F20" s="8"/>
      <c r="G20" s="8"/>
    </row>
    <row r="21" spans="1:7" x14ac:dyDescent="0.3">
      <c r="C21" s="9" t="s">
        <v>519</v>
      </c>
      <c r="D21" s="9" t="s">
        <v>520</v>
      </c>
      <c r="E21" s="10" t="s">
        <v>518</v>
      </c>
      <c r="F21" s="8"/>
      <c r="G21" s="8"/>
    </row>
    <row r="22" spans="1:7" x14ac:dyDescent="0.3">
      <c r="C22" s="9" t="s">
        <v>521</v>
      </c>
      <c r="D22" s="9" t="s">
        <v>522</v>
      </c>
      <c r="E22" s="10" t="s">
        <v>518</v>
      </c>
      <c r="F22" s="8"/>
      <c r="G22" s="8"/>
    </row>
    <row r="23" spans="1:7" x14ac:dyDescent="0.3">
      <c r="A23" s="3" t="s">
        <v>39</v>
      </c>
      <c r="B23" s="9" t="s">
        <v>40</v>
      </c>
      <c r="C23" s="9" t="s">
        <v>523</v>
      </c>
      <c r="D23" s="9" t="s">
        <v>524</v>
      </c>
      <c r="E23" s="10" t="s">
        <v>41</v>
      </c>
      <c r="F23" s="8"/>
      <c r="G23" s="8"/>
    </row>
    <row r="24" spans="1:7" x14ac:dyDescent="0.3">
      <c r="C24" s="9" t="s">
        <v>525</v>
      </c>
      <c r="D24" s="9" t="s">
        <v>493</v>
      </c>
      <c r="E24" s="10" t="s">
        <v>518</v>
      </c>
      <c r="F24" s="8"/>
      <c r="G24" s="8"/>
    </row>
    <row r="25" spans="1:7" x14ac:dyDescent="0.3">
      <c r="C25" s="9" t="s">
        <v>526</v>
      </c>
      <c r="D25" s="9" t="s">
        <v>520</v>
      </c>
      <c r="E25" s="10" t="s">
        <v>515</v>
      </c>
      <c r="F25" s="8"/>
      <c r="G25" s="8"/>
    </row>
    <row r="26" spans="1:7" x14ac:dyDescent="0.3">
      <c r="C26" s="9" t="s">
        <v>527</v>
      </c>
      <c r="D26" s="9" t="s">
        <v>498</v>
      </c>
      <c r="E26" s="10" t="s">
        <v>518</v>
      </c>
      <c r="F26" s="8"/>
      <c r="G26" s="8"/>
    </row>
    <row r="27" spans="1:7" x14ac:dyDescent="0.3">
      <c r="A27" s="3" t="s">
        <v>119</v>
      </c>
      <c r="B27" s="9" t="s">
        <v>118</v>
      </c>
      <c r="C27" s="9" t="s">
        <v>528</v>
      </c>
      <c r="D27" s="9" t="s">
        <v>520</v>
      </c>
      <c r="E27" s="10" t="str">
        <f>"0x"&amp;DEC2HEX(15)</f>
        <v>0xF</v>
      </c>
      <c r="F27" s="93"/>
      <c r="G27" s="8"/>
    </row>
    <row r="28" spans="1:7" x14ac:dyDescent="0.3">
      <c r="C28" s="9" t="s">
        <v>529</v>
      </c>
      <c r="D28" s="9" t="s">
        <v>522</v>
      </c>
      <c r="E28" s="10" t="s">
        <v>1015</v>
      </c>
      <c r="F28" s="93"/>
      <c r="G28" s="8"/>
    </row>
    <row r="29" spans="1:7" x14ac:dyDescent="0.3">
      <c r="A29" s="3" t="s">
        <v>116</v>
      </c>
      <c r="B29" s="9" t="s">
        <v>117</v>
      </c>
      <c r="C29" s="9" t="s">
        <v>530</v>
      </c>
      <c r="D29" s="9" t="s">
        <v>531</v>
      </c>
      <c r="E29" s="10" t="s">
        <v>532</v>
      </c>
      <c r="F29" s="93"/>
      <c r="G29" s="8"/>
    </row>
    <row r="30" spans="1:7" ht="14.5" thickBot="1" x14ac:dyDescent="0.35">
      <c r="A30" s="21"/>
      <c r="B30" s="21"/>
      <c r="C30" s="9" t="s">
        <v>533</v>
      </c>
      <c r="D30" s="9" t="s">
        <v>534</v>
      </c>
      <c r="E30" s="10" t="s">
        <v>504</v>
      </c>
      <c r="F30" s="93"/>
      <c r="G30" s="8"/>
    </row>
    <row r="31" spans="1:7" x14ac:dyDescent="0.3">
      <c r="A31" s="18" t="s">
        <v>44</v>
      </c>
      <c r="B31" s="19" t="s">
        <v>45</v>
      </c>
      <c r="C31" s="19" t="s">
        <v>46</v>
      </c>
      <c r="D31" s="19" t="s">
        <v>24</v>
      </c>
      <c r="E31" s="20" t="s">
        <v>21</v>
      </c>
    </row>
    <row r="32" spans="1:7" x14ac:dyDescent="0.3">
      <c r="C32" s="9" t="s">
        <v>47</v>
      </c>
      <c r="D32" s="9" t="s">
        <v>19</v>
      </c>
      <c r="E32" s="10" t="s">
        <v>48</v>
      </c>
    </row>
    <row r="33" spans="1:6" x14ac:dyDescent="0.3">
      <c r="C33" s="9" t="s">
        <v>49</v>
      </c>
      <c r="D33" s="9" t="s">
        <v>1145</v>
      </c>
      <c r="E33" s="70" t="s">
        <v>1016</v>
      </c>
      <c r="F33" s="80" t="s">
        <v>1136</v>
      </c>
    </row>
    <row r="34" spans="1:6" x14ac:dyDescent="0.3">
      <c r="C34" s="9" t="s">
        <v>50</v>
      </c>
      <c r="D34" s="9" t="s">
        <v>51</v>
      </c>
      <c r="E34" s="10" t="s">
        <v>22</v>
      </c>
    </row>
    <row r="35" spans="1:6" x14ac:dyDescent="0.3">
      <c r="C35" s="9" t="s">
        <v>52</v>
      </c>
      <c r="D35" s="9" t="s">
        <v>13</v>
      </c>
      <c r="E35" s="10" t="s">
        <v>21</v>
      </c>
    </row>
    <row r="36" spans="1:6" x14ac:dyDescent="0.3">
      <c r="C36" s="9" t="s">
        <v>53</v>
      </c>
      <c r="D36" s="9" t="s">
        <v>14</v>
      </c>
      <c r="E36" s="10" t="s">
        <v>21</v>
      </c>
    </row>
    <row r="37" spans="1:6" x14ac:dyDescent="0.3">
      <c r="A37" s="3" t="s">
        <v>54</v>
      </c>
      <c r="B37" s="9" t="s">
        <v>55</v>
      </c>
      <c r="C37" s="9" t="s">
        <v>56</v>
      </c>
      <c r="D37" s="9" t="s">
        <v>27</v>
      </c>
      <c r="E37" s="10" t="s">
        <v>157</v>
      </c>
    </row>
    <row r="38" spans="1:6" x14ac:dyDescent="0.3">
      <c r="A38" s="3" t="s">
        <v>57</v>
      </c>
      <c r="B38" s="9" t="s">
        <v>58</v>
      </c>
      <c r="C38" s="9" t="s">
        <v>59</v>
      </c>
      <c r="D38" s="9" t="s">
        <v>60</v>
      </c>
      <c r="E38" s="10" t="s">
        <v>41</v>
      </c>
    </row>
    <row r="39" spans="1:6" x14ac:dyDescent="0.3">
      <c r="C39" s="9" t="s">
        <v>61</v>
      </c>
      <c r="D39" s="9" t="s">
        <v>18</v>
      </c>
      <c r="E39" s="10" t="s">
        <v>99</v>
      </c>
    </row>
    <row r="40" spans="1:6" x14ac:dyDescent="0.3">
      <c r="A40" s="3" t="s">
        <v>62</v>
      </c>
      <c r="B40" s="9" t="s">
        <v>63</v>
      </c>
      <c r="C40" s="9" t="s">
        <v>64</v>
      </c>
      <c r="D40" s="9" t="s">
        <v>60</v>
      </c>
      <c r="E40" s="10" t="s">
        <v>41</v>
      </c>
    </row>
    <row r="41" spans="1:6" x14ac:dyDescent="0.3">
      <c r="C41" s="9" t="s">
        <v>65</v>
      </c>
      <c r="D41" s="9" t="s">
        <v>18</v>
      </c>
      <c r="E41" s="10" t="s">
        <v>98</v>
      </c>
    </row>
    <row r="42" spans="1:6" x14ac:dyDescent="0.3">
      <c r="A42" s="3" t="s">
        <v>66</v>
      </c>
      <c r="B42" s="9" t="s">
        <v>67</v>
      </c>
      <c r="C42" s="9" t="s">
        <v>68</v>
      </c>
      <c r="D42" s="9" t="s">
        <v>60</v>
      </c>
      <c r="E42" s="10" t="s">
        <v>41</v>
      </c>
    </row>
    <row r="43" spans="1:6" x14ac:dyDescent="0.3">
      <c r="C43" s="9" t="s">
        <v>69</v>
      </c>
      <c r="D43" s="9" t="s">
        <v>18</v>
      </c>
      <c r="E43" s="10" t="s">
        <v>98</v>
      </c>
    </row>
    <row r="44" spans="1:6" x14ac:dyDescent="0.3">
      <c r="A44" s="3" t="s">
        <v>70</v>
      </c>
      <c r="B44" s="9" t="s">
        <v>71</v>
      </c>
      <c r="C44" s="9" t="s">
        <v>72</v>
      </c>
      <c r="D44" s="9" t="s">
        <v>73</v>
      </c>
      <c r="E44" s="10" t="s">
        <v>21</v>
      </c>
    </row>
    <row r="45" spans="1:6" x14ac:dyDescent="0.3">
      <c r="C45" s="9" t="s">
        <v>74</v>
      </c>
      <c r="D45" s="9" t="s">
        <v>51</v>
      </c>
      <c r="E45" s="10" t="s">
        <v>21</v>
      </c>
    </row>
    <row r="46" spans="1:6" x14ac:dyDescent="0.3">
      <c r="C46" s="9" t="s">
        <v>75</v>
      </c>
      <c r="D46" s="9" t="s">
        <v>13</v>
      </c>
      <c r="E46" s="10" t="s">
        <v>21</v>
      </c>
    </row>
    <row r="47" spans="1:6" x14ac:dyDescent="0.3">
      <c r="C47" s="9" t="s">
        <v>76</v>
      </c>
      <c r="D47" s="9" t="s">
        <v>14</v>
      </c>
      <c r="E47" s="10" t="s">
        <v>21</v>
      </c>
    </row>
    <row r="48" spans="1:6" x14ac:dyDescent="0.3">
      <c r="A48" s="3" t="s">
        <v>77</v>
      </c>
      <c r="B48" s="9" t="s">
        <v>78</v>
      </c>
      <c r="C48" s="9" t="s">
        <v>79</v>
      </c>
      <c r="D48" s="9" t="s">
        <v>14</v>
      </c>
      <c r="E48" s="10" t="s">
        <v>22</v>
      </c>
    </row>
    <row r="49" spans="1:6" x14ac:dyDescent="0.3">
      <c r="A49" s="3" t="s">
        <v>80</v>
      </c>
      <c r="B49" s="9" t="s">
        <v>81</v>
      </c>
      <c r="C49" s="9" t="s">
        <v>82</v>
      </c>
      <c r="D49" s="9" t="s">
        <v>83</v>
      </c>
      <c r="E49" s="10" t="s">
        <v>22</v>
      </c>
    </row>
    <row r="50" spans="1:6" x14ac:dyDescent="0.3">
      <c r="C50" s="9" t="s">
        <v>84</v>
      </c>
      <c r="D50" s="9" t="s">
        <v>73</v>
      </c>
      <c r="E50" s="10" t="s">
        <v>21</v>
      </c>
    </row>
    <row r="51" spans="1:6" ht="14.5" thickBot="1" x14ac:dyDescent="0.35">
      <c r="A51" s="73"/>
      <c r="B51" s="73"/>
      <c r="C51" s="73" t="s">
        <v>85</v>
      </c>
      <c r="D51" s="73" t="s">
        <v>14</v>
      </c>
      <c r="E51" s="74" t="s">
        <v>22</v>
      </c>
      <c r="F51" s="75"/>
    </row>
    <row r="52" spans="1:6" ht="14.5" thickTop="1" x14ac:dyDescent="0.3">
      <c r="A52" s="72" t="s">
        <v>335</v>
      </c>
      <c r="B52" s="72" t="s">
        <v>389</v>
      </c>
      <c r="C52" s="72" t="s">
        <v>1020</v>
      </c>
      <c r="D52" s="72" t="s">
        <v>336</v>
      </c>
      <c r="E52" s="72" t="s">
        <v>337</v>
      </c>
      <c r="F52" s="22" t="s">
        <v>150</v>
      </c>
    </row>
    <row r="53" spans="1:6" x14ac:dyDescent="0.3">
      <c r="A53" s="4"/>
      <c r="B53" s="4"/>
      <c r="C53" s="4" t="s">
        <v>1021</v>
      </c>
      <c r="D53" s="4" t="s">
        <v>338</v>
      </c>
      <c r="E53" s="4" t="s">
        <v>334</v>
      </c>
    </row>
    <row r="54" spans="1:6" x14ac:dyDescent="0.3">
      <c r="A54" s="4"/>
      <c r="B54" s="4"/>
      <c r="C54" s="4" t="s">
        <v>1017</v>
      </c>
      <c r="D54" s="4" t="s">
        <v>339</v>
      </c>
      <c r="E54" s="4" t="s">
        <v>337</v>
      </c>
    </row>
    <row r="55" spans="1:6" x14ac:dyDescent="0.3">
      <c r="A55" s="4"/>
      <c r="B55" s="4"/>
      <c r="C55" s="4" t="s">
        <v>1018</v>
      </c>
      <c r="D55" s="4" t="s">
        <v>340</v>
      </c>
      <c r="E55" s="4" t="s">
        <v>1003</v>
      </c>
    </row>
    <row r="56" spans="1:6" x14ac:dyDescent="0.3">
      <c r="A56" s="4"/>
      <c r="B56" s="4"/>
      <c r="C56" s="4" t="s">
        <v>1019</v>
      </c>
      <c r="D56" s="4" t="s">
        <v>341</v>
      </c>
      <c r="E56" s="4" t="s">
        <v>342</v>
      </c>
    </row>
    <row r="57" spans="1:6" x14ac:dyDescent="0.3">
      <c r="A57" s="4" t="s">
        <v>343</v>
      </c>
      <c r="B57" s="4" t="s">
        <v>390</v>
      </c>
      <c r="C57" s="4" t="s">
        <v>1020</v>
      </c>
      <c r="D57" s="4" t="s">
        <v>336</v>
      </c>
      <c r="E57" s="4" t="s">
        <v>337</v>
      </c>
      <c r="F57" s="22" t="s">
        <v>151</v>
      </c>
    </row>
    <row r="58" spans="1:6" x14ac:dyDescent="0.3">
      <c r="A58" s="4"/>
      <c r="B58" s="4"/>
      <c r="C58" s="4" t="s">
        <v>1021</v>
      </c>
      <c r="D58" s="4" t="s">
        <v>338</v>
      </c>
      <c r="E58" s="4" t="s">
        <v>334</v>
      </c>
    </row>
    <row r="59" spans="1:6" x14ac:dyDescent="0.3">
      <c r="A59" s="4"/>
      <c r="B59" s="4"/>
      <c r="C59" s="4" t="s">
        <v>1017</v>
      </c>
      <c r="D59" s="4" t="s">
        <v>339</v>
      </c>
      <c r="E59" s="4" t="s">
        <v>337</v>
      </c>
    </row>
    <row r="60" spans="1:6" x14ac:dyDescent="0.3">
      <c r="A60" s="4"/>
      <c r="B60" s="4"/>
      <c r="C60" s="4" t="s">
        <v>1018</v>
      </c>
      <c r="D60" s="4" t="s">
        <v>340</v>
      </c>
      <c r="E60" s="4" t="s">
        <v>334</v>
      </c>
    </row>
    <row r="61" spans="1:6" x14ac:dyDescent="0.3">
      <c r="A61" s="4"/>
      <c r="B61" s="4"/>
      <c r="C61" s="4" t="s">
        <v>1019</v>
      </c>
      <c r="D61" s="4" t="s">
        <v>341</v>
      </c>
      <c r="E61" s="4" t="s">
        <v>1097</v>
      </c>
    </row>
    <row r="62" spans="1:6" x14ac:dyDescent="0.3">
      <c r="A62" s="4" t="s">
        <v>344</v>
      </c>
      <c r="B62" s="4" t="s">
        <v>391</v>
      </c>
      <c r="C62" s="4" t="s">
        <v>1020</v>
      </c>
      <c r="D62" s="4" t="s">
        <v>336</v>
      </c>
      <c r="E62" s="4" t="s">
        <v>337</v>
      </c>
      <c r="F62" s="22" t="s">
        <v>152</v>
      </c>
    </row>
    <row r="63" spans="1:6" x14ac:dyDescent="0.3">
      <c r="A63" s="4"/>
      <c r="B63" s="4"/>
      <c r="C63" s="4" t="s">
        <v>1021</v>
      </c>
      <c r="D63" s="4" t="s">
        <v>338</v>
      </c>
      <c r="E63" s="4" t="s">
        <v>334</v>
      </c>
    </row>
    <row r="64" spans="1:6" x14ac:dyDescent="0.3">
      <c r="A64" s="4"/>
      <c r="B64" s="4"/>
      <c r="C64" s="4" t="s">
        <v>1017</v>
      </c>
      <c r="D64" s="4" t="s">
        <v>339</v>
      </c>
      <c r="E64" s="4" t="s">
        <v>334</v>
      </c>
    </row>
    <row r="65" spans="1:6" x14ac:dyDescent="0.3">
      <c r="A65" s="4"/>
      <c r="B65" s="4"/>
      <c r="C65" s="4" t="s">
        <v>1018</v>
      </c>
      <c r="D65" s="4" t="s">
        <v>340</v>
      </c>
      <c r="E65" s="4" t="s">
        <v>334</v>
      </c>
    </row>
    <row r="66" spans="1:6" x14ac:dyDescent="0.3">
      <c r="A66" s="4"/>
      <c r="B66" s="4"/>
      <c r="C66" s="4" t="s">
        <v>1019</v>
      </c>
      <c r="D66" s="4" t="s">
        <v>341</v>
      </c>
      <c r="E66" s="4" t="s">
        <v>1096</v>
      </c>
    </row>
    <row r="67" spans="1:6" x14ac:dyDescent="0.3">
      <c r="A67" s="4" t="s">
        <v>345</v>
      </c>
      <c r="B67" s="4" t="s">
        <v>392</v>
      </c>
      <c r="C67" s="4" t="s">
        <v>1020</v>
      </c>
      <c r="D67" s="4" t="s">
        <v>336</v>
      </c>
      <c r="E67" s="4" t="s">
        <v>337</v>
      </c>
      <c r="F67" s="22" t="s">
        <v>153</v>
      </c>
    </row>
    <row r="68" spans="1:6" x14ac:dyDescent="0.3">
      <c r="A68" s="4"/>
      <c r="B68" s="4"/>
      <c r="C68" s="4" t="s">
        <v>1021</v>
      </c>
      <c r="D68" s="4" t="s">
        <v>338</v>
      </c>
      <c r="E68" s="4" t="s">
        <v>334</v>
      </c>
    </row>
    <row r="69" spans="1:6" x14ac:dyDescent="0.3">
      <c r="A69" s="4"/>
      <c r="B69" s="4"/>
      <c r="C69" s="4" t="s">
        <v>1017</v>
      </c>
      <c r="D69" s="4" t="s">
        <v>339</v>
      </c>
      <c r="E69" s="4" t="s">
        <v>337</v>
      </c>
    </row>
    <row r="70" spans="1:6" x14ac:dyDescent="0.3">
      <c r="A70" s="4"/>
      <c r="B70" s="4"/>
      <c r="C70" s="4" t="s">
        <v>1018</v>
      </c>
      <c r="D70" s="4" t="s">
        <v>340</v>
      </c>
      <c r="E70" s="4" t="s">
        <v>334</v>
      </c>
    </row>
    <row r="71" spans="1:6" x14ac:dyDescent="0.3">
      <c r="A71" s="4"/>
      <c r="B71" s="4"/>
      <c r="C71" s="4" t="s">
        <v>1019</v>
      </c>
      <c r="D71" s="4" t="s">
        <v>341</v>
      </c>
      <c r="E71" s="4" t="s">
        <v>1097</v>
      </c>
    </row>
    <row r="72" spans="1:6" x14ac:dyDescent="0.3">
      <c r="A72" s="4" t="s">
        <v>346</v>
      </c>
      <c r="B72" s="4" t="s">
        <v>393</v>
      </c>
      <c r="C72" s="4" t="s">
        <v>1020</v>
      </c>
      <c r="D72" s="4" t="s">
        <v>336</v>
      </c>
      <c r="E72" s="4" t="s">
        <v>337</v>
      </c>
      <c r="F72" s="22" t="s">
        <v>154</v>
      </c>
    </row>
    <row r="73" spans="1:6" x14ac:dyDescent="0.3">
      <c r="A73" s="4"/>
      <c r="B73" s="4"/>
      <c r="C73" s="4" t="s">
        <v>1021</v>
      </c>
      <c r="D73" s="4" t="s">
        <v>338</v>
      </c>
      <c r="E73" s="4" t="s">
        <v>334</v>
      </c>
    </row>
    <row r="74" spans="1:6" x14ac:dyDescent="0.3">
      <c r="A74" s="4"/>
      <c r="B74" s="4"/>
      <c r="C74" s="4" t="s">
        <v>1017</v>
      </c>
      <c r="D74" s="4" t="s">
        <v>339</v>
      </c>
      <c r="E74" s="4" t="s">
        <v>337</v>
      </c>
    </row>
    <row r="75" spans="1:6" x14ac:dyDescent="0.3">
      <c r="A75" s="4"/>
      <c r="B75" s="4"/>
      <c r="C75" s="4" t="s">
        <v>1018</v>
      </c>
      <c r="D75" s="4" t="s">
        <v>340</v>
      </c>
      <c r="E75" s="4" t="s">
        <v>334</v>
      </c>
    </row>
    <row r="76" spans="1:6" x14ac:dyDescent="0.3">
      <c r="A76" s="4"/>
      <c r="B76" s="4"/>
      <c r="C76" s="4" t="s">
        <v>1019</v>
      </c>
      <c r="D76" s="4" t="s">
        <v>341</v>
      </c>
      <c r="E76" s="4" t="s">
        <v>1095</v>
      </c>
    </row>
    <row r="77" spans="1:6" x14ac:dyDescent="0.3">
      <c r="A77" s="4" t="s">
        <v>127</v>
      </c>
      <c r="B77" s="4" t="s">
        <v>394</v>
      </c>
      <c r="C77" s="4" t="s">
        <v>1020</v>
      </c>
      <c r="D77" s="4" t="s">
        <v>336</v>
      </c>
      <c r="E77" s="4" t="s">
        <v>337</v>
      </c>
      <c r="F77" s="22" t="s">
        <v>155</v>
      </c>
    </row>
    <row r="78" spans="1:6" x14ac:dyDescent="0.3">
      <c r="A78" s="4"/>
      <c r="B78" s="4"/>
      <c r="C78" s="4" t="s">
        <v>1021</v>
      </c>
      <c r="D78" s="4" t="s">
        <v>338</v>
      </c>
      <c r="E78" s="4" t="s">
        <v>334</v>
      </c>
    </row>
    <row r="79" spans="1:6" x14ac:dyDescent="0.3">
      <c r="A79" s="4"/>
      <c r="B79" s="4"/>
      <c r="C79" s="4" t="s">
        <v>1017</v>
      </c>
      <c r="D79" s="4" t="s">
        <v>339</v>
      </c>
      <c r="E79" s="4" t="s">
        <v>337</v>
      </c>
    </row>
    <row r="80" spans="1:6" x14ac:dyDescent="0.3">
      <c r="A80" s="4"/>
      <c r="B80" s="4"/>
      <c r="C80" s="4" t="s">
        <v>1018</v>
      </c>
      <c r="D80" s="4" t="s">
        <v>340</v>
      </c>
      <c r="E80" s="4" t="s">
        <v>334</v>
      </c>
    </row>
    <row r="81" spans="1:6" x14ac:dyDescent="0.3">
      <c r="A81" s="4"/>
      <c r="B81" s="4"/>
      <c r="C81" s="4" t="s">
        <v>1019</v>
      </c>
      <c r="D81" s="4" t="s">
        <v>341</v>
      </c>
      <c r="E81" s="4" t="s">
        <v>1098</v>
      </c>
    </row>
    <row r="82" spans="1:6" x14ac:dyDescent="0.3">
      <c r="A82" s="4" t="s">
        <v>133</v>
      </c>
      <c r="B82" s="4" t="s">
        <v>395</v>
      </c>
      <c r="C82" s="4" t="s">
        <v>1020</v>
      </c>
      <c r="D82" s="4" t="s">
        <v>336</v>
      </c>
      <c r="E82" s="4" t="s">
        <v>337</v>
      </c>
      <c r="F82" s="22" t="s">
        <v>156</v>
      </c>
    </row>
    <row r="83" spans="1:6" x14ac:dyDescent="0.3">
      <c r="A83" s="4"/>
      <c r="B83" s="4"/>
      <c r="C83" s="4" t="s">
        <v>1021</v>
      </c>
      <c r="D83" s="4" t="s">
        <v>338</v>
      </c>
      <c r="E83" s="4" t="s">
        <v>334</v>
      </c>
    </row>
    <row r="84" spans="1:6" x14ac:dyDescent="0.3">
      <c r="A84" s="4"/>
      <c r="B84" s="4"/>
      <c r="C84" s="4" t="s">
        <v>1017</v>
      </c>
      <c r="D84" s="4" t="s">
        <v>339</v>
      </c>
      <c r="E84" s="4" t="s">
        <v>337</v>
      </c>
    </row>
    <row r="85" spans="1:6" x14ac:dyDescent="0.3">
      <c r="A85" s="4"/>
      <c r="B85" s="4"/>
      <c r="C85" s="4" t="s">
        <v>1018</v>
      </c>
      <c r="D85" s="4" t="s">
        <v>340</v>
      </c>
      <c r="E85" s="4" t="s">
        <v>334</v>
      </c>
    </row>
    <row r="86" spans="1:6" x14ac:dyDescent="0.3">
      <c r="A86" s="4"/>
      <c r="B86" s="4"/>
      <c r="C86" s="4" t="s">
        <v>1019</v>
      </c>
      <c r="D86" s="4" t="s">
        <v>341</v>
      </c>
      <c r="E86" s="4" t="s">
        <v>342</v>
      </c>
    </row>
    <row r="87" spans="1:6" x14ac:dyDescent="0.3">
      <c r="A87" s="4" t="s">
        <v>347</v>
      </c>
      <c r="B87" s="4" t="s">
        <v>396</v>
      </c>
      <c r="C87" s="4" t="s">
        <v>1020</v>
      </c>
      <c r="D87" s="4" t="s">
        <v>336</v>
      </c>
      <c r="E87" s="56" t="s">
        <v>334</v>
      </c>
      <c r="F87" s="22" t="s">
        <v>1040</v>
      </c>
    </row>
    <row r="88" spans="1:6" x14ac:dyDescent="0.3">
      <c r="A88" s="4"/>
      <c r="B88" s="4"/>
      <c r="C88" s="4" t="s">
        <v>1021</v>
      </c>
      <c r="D88" s="4" t="s">
        <v>338</v>
      </c>
      <c r="E88" s="4" t="s">
        <v>334</v>
      </c>
    </row>
    <row r="89" spans="1:6" x14ac:dyDescent="0.3">
      <c r="A89" s="4"/>
      <c r="B89" s="4"/>
      <c r="C89" s="4" t="s">
        <v>1017</v>
      </c>
      <c r="D89" s="4" t="s">
        <v>339</v>
      </c>
      <c r="E89" s="4" t="s">
        <v>337</v>
      </c>
    </row>
    <row r="90" spans="1:6" x14ac:dyDescent="0.3">
      <c r="A90" s="4"/>
      <c r="B90" s="4"/>
      <c r="C90" s="4" t="s">
        <v>1018</v>
      </c>
      <c r="D90" s="4" t="s">
        <v>340</v>
      </c>
      <c r="E90" s="4" t="s">
        <v>334</v>
      </c>
    </row>
    <row r="91" spans="1:6" ht="14.5" thickBot="1" x14ac:dyDescent="0.35">
      <c r="A91" s="76"/>
      <c r="B91" s="76"/>
      <c r="C91" s="76" t="s">
        <v>1019</v>
      </c>
      <c r="D91" s="76" t="s">
        <v>341</v>
      </c>
      <c r="E91" s="76" t="s">
        <v>342</v>
      </c>
      <c r="F91" s="75"/>
    </row>
    <row r="92" spans="1:6" ht="14.5" thickTop="1" x14ac:dyDescent="0.3">
      <c r="A92" s="72" t="s">
        <v>348</v>
      </c>
      <c r="B92" s="72" t="s">
        <v>397</v>
      </c>
      <c r="C92" s="72" t="s">
        <v>1022</v>
      </c>
      <c r="D92" s="72" t="s">
        <v>338</v>
      </c>
      <c r="E92" s="72" t="s">
        <v>334</v>
      </c>
      <c r="F92" s="22" t="s">
        <v>150</v>
      </c>
    </row>
    <row r="93" spans="1:6" x14ac:dyDescent="0.3">
      <c r="A93" s="4"/>
      <c r="B93" s="4"/>
      <c r="C93" s="4" t="s">
        <v>1023</v>
      </c>
      <c r="D93" s="4" t="s">
        <v>339</v>
      </c>
      <c r="E93" s="4" t="s">
        <v>337</v>
      </c>
    </row>
    <row r="94" spans="1:6" x14ac:dyDescent="0.3">
      <c r="A94" s="4"/>
      <c r="B94" s="4"/>
      <c r="C94" s="4" t="s">
        <v>1024</v>
      </c>
      <c r="D94" s="4" t="s">
        <v>340</v>
      </c>
      <c r="E94" s="4" t="s">
        <v>1099</v>
      </c>
    </row>
    <row r="95" spans="1:6" x14ac:dyDescent="0.3">
      <c r="A95" s="4"/>
      <c r="B95" s="4"/>
      <c r="C95" s="4" t="s">
        <v>1025</v>
      </c>
      <c r="D95" s="4" t="s">
        <v>341</v>
      </c>
      <c r="E95" s="4" t="s">
        <v>342</v>
      </c>
    </row>
    <row r="96" spans="1:6" x14ac:dyDescent="0.3">
      <c r="A96" s="4" t="s">
        <v>349</v>
      </c>
      <c r="B96" s="4" t="s">
        <v>398</v>
      </c>
      <c r="C96" s="4" t="s">
        <v>1022</v>
      </c>
      <c r="D96" s="4" t="s">
        <v>338</v>
      </c>
      <c r="E96" s="4" t="s">
        <v>334</v>
      </c>
      <c r="F96" s="22" t="s">
        <v>151</v>
      </c>
    </row>
    <row r="97" spans="1:6" x14ac:dyDescent="0.3">
      <c r="A97" s="4"/>
      <c r="B97" s="4"/>
      <c r="C97" s="4" t="s">
        <v>1023</v>
      </c>
      <c r="D97" s="4" t="s">
        <v>339</v>
      </c>
      <c r="E97" s="4" t="s">
        <v>337</v>
      </c>
    </row>
    <row r="98" spans="1:6" x14ac:dyDescent="0.3">
      <c r="A98" s="4"/>
      <c r="B98" s="4"/>
      <c r="C98" s="4" t="s">
        <v>1024</v>
      </c>
      <c r="D98" s="4" t="s">
        <v>340</v>
      </c>
      <c r="E98" s="4" t="s">
        <v>334</v>
      </c>
    </row>
    <row r="99" spans="1:6" x14ac:dyDescent="0.3">
      <c r="A99" s="4"/>
      <c r="B99" s="4"/>
      <c r="C99" s="4" t="s">
        <v>1025</v>
      </c>
      <c r="D99" s="4" t="s">
        <v>341</v>
      </c>
      <c r="E99" s="4" t="s">
        <v>1095</v>
      </c>
    </row>
    <row r="100" spans="1:6" x14ac:dyDescent="0.3">
      <c r="A100" s="4" t="s">
        <v>350</v>
      </c>
      <c r="B100" s="4" t="s">
        <v>399</v>
      </c>
      <c r="C100" s="4" t="s">
        <v>1022</v>
      </c>
      <c r="D100" s="4" t="s">
        <v>338</v>
      </c>
      <c r="E100" s="4" t="s">
        <v>334</v>
      </c>
      <c r="F100" s="22" t="s">
        <v>152</v>
      </c>
    </row>
    <row r="101" spans="1:6" x14ac:dyDescent="0.3">
      <c r="A101" s="4"/>
      <c r="B101" s="4"/>
      <c r="C101" s="4" t="s">
        <v>1023</v>
      </c>
      <c r="D101" s="4" t="s">
        <v>339</v>
      </c>
      <c r="E101" s="4" t="s">
        <v>334</v>
      </c>
    </row>
    <row r="102" spans="1:6" x14ac:dyDescent="0.3">
      <c r="A102" s="4"/>
      <c r="B102" s="4"/>
      <c r="C102" s="4" t="s">
        <v>1024</v>
      </c>
      <c r="D102" s="4" t="s">
        <v>340</v>
      </c>
      <c r="E102" s="4" t="s">
        <v>334</v>
      </c>
    </row>
    <row r="103" spans="1:6" x14ac:dyDescent="0.3">
      <c r="A103" s="4"/>
      <c r="B103" s="4"/>
      <c r="C103" s="4" t="s">
        <v>1025</v>
      </c>
      <c r="D103" s="4" t="s">
        <v>341</v>
      </c>
      <c r="E103" s="4" t="s">
        <v>1100</v>
      </c>
    </row>
    <row r="104" spans="1:6" x14ac:dyDescent="0.3">
      <c r="A104" s="4" t="s">
        <v>351</v>
      </c>
      <c r="B104" s="4" t="s">
        <v>400</v>
      </c>
      <c r="C104" s="4" t="s">
        <v>1022</v>
      </c>
      <c r="D104" s="4" t="s">
        <v>338</v>
      </c>
      <c r="E104" s="4" t="s">
        <v>334</v>
      </c>
      <c r="F104" s="22" t="s">
        <v>153</v>
      </c>
    </row>
    <row r="105" spans="1:6" x14ac:dyDescent="0.3">
      <c r="A105" s="4"/>
      <c r="B105" s="4"/>
      <c r="C105" s="4" t="s">
        <v>1023</v>
      </c>
      <c r="D105" s="4" t="s">
        <v>339</v>
      </c>
      <c r="E105" s="4" t="s">
        <v>337</v>
      </c>
    </row>
    <row r="106" spans="1:6" x14ac:dyDescent="0.3">
      <c r="A106" s="4"/>
      <c r="B106" s="4"/>
      <c r="C106" s="4" t="s">
        <v>1024</v>
      </c>
      <c r="D106" s="4" t="s">
        <v>340</v>
      </c>
      <c r="E106" s="4" t="s">
        <v>334</v>
      </c>
    </row>
    <row r="107" spans="1:6" x14ac:dyDescent="0.3">
      <c r="A107" s="4"/>
      <c r="B107" s="4"/>
      <c r="C107" s="4" t="s">
        <v>1025</v>
      </c>
      <c r="D107" s="4" t="s">
        <v>341</v>
      </c>
      <c r="E107" s="4" t="s">
        <v>1095</v>
      </c>
    </row>
    <row r="108" spans="1:6" x14ac:dyDescent="0.3">
      <c r="A108" s="4" t="s">
        <v>352</v>
      </c>
      <c r="B108" s="4" t="s">
        <v>401</v>
      </c>
      <c r="C108" s="4" t="s">
        <v>1022</v>
      </c>
      <c r="D108" s="4" t="s">
        <v>338</v>
      </c>
      <c r="E108" s="4" t="s">
        <v>334</v>
      </c>
      <c r="F108" s="22" t="s">
        <v>154</v>
      </c>
    </row>
    <row r="109" spans="1:6" x14ac:dyDescent="0.3">
      <c r="A109" s="4"/>
      <c r="B109" s="4"/>
      <c r="C109" s="4" t="s">
        <v>1023</v>
      </c>
      <c r="D109" s="4" t="s">
        <v>339</v>
      </c>
      <c r="E109" s="4" t="s">
        <v>337</v>
      </c>
    </row>
    <row r="110" spans="1:6" x14ac:dyDescent="0.3">
      <c r="A110" s="4"/>
      <c r="B110" s="4"/>
      <c r="C110" s="4" t="s">
        <v>1024</v>
      </c>
      <c r="D110" s="4" t="s">
        <v>340</v>
      </c>
      <c r="E110" s="4" t="s">
        <v>334</v>
      </c>
    </row>
    <row r="111" spans="1:6" x14ac:dyDescent="0.3">
      <c r="A111" s="4"/>
      <c r="B111" s="4"/>
      <c r="C111" s="4" t="s">
        <v>1025</v>
      </c>
      <c r="D111" s="4" t="s">
        <v>341</v>
      </c>
      <c r="E111" s="4" t="s">
        <v>1095</v>
      </c>
    </row>
    <row r="112" spans="1:6" x14ac:dyDescent="0.3">
      <c r="A112" s="4" t="s">
        <v>128</v>
      </c>
      <c r="B112" s="4" t="s">
        <v>402</v>
      </c>
      <c r="C112" s="4" t="s">
        <v>1022</v>
      </c>
      <c r="D112" s="4" t="s">
        <v>338</v>
      </c>
      <c r="E112" s="4" t="s">
        <v>334</v>
      </c>
      <c r="F112" s="22" t="s">
        <v>155</v>
      </c>
    </row>
    <row r="113" spans="1:6" x14ac:dyDescent="0.3">
      <c r="A113" s="4"/>
      <c r="B113" s="4"/>
      <c r="C113" s="4" t="s">
        <v>1023</v>
      </c>
      <c r="D113" s="4" t="s">
        <v>339</v>
      </c>
      <c r="E113" s="4" t="s">
        <v>337</v>
      </c>
    </row>
    <row r="114" spans="1:6" x14ac:dyDescent="0.3">
      <c r="A114" s="4"/>
      <c r="B114" s="4"/>
      <c r="C114" s="4" t="s">
        <v>1024</v>
      </c>
      <c r="D114" s="4" t="s">
        <v>340</v>
      </c>
      <c r="E114" s="4" t="s">
        <v>334</v>
      </c>
    </row>
    <row r="115" spans="1:6" x14ac:dyDescent="0.3">
      <c r="A115" s="4"/>
      <c r="B115" s="4"/>
      <c r="C115" s="4" t="s">
        <v>1025</v>
      </c>
      <c r="D115" s="4" t="s">
        <v>341</v>
      </c>
      <c r="E115" s="4" t="s">
        <v>1098</v>
      </c>
    </row>
    <row r="116" spans="1:6" x14ac:dyDescent="0.3">
      <c r="A116" s="4" t="s">
        <v>134</v>
      </c>
      <c r="B116" s="4" t="s">
        <v>403</v>
      </c>
      <c r="C116" s="4" t="s">
        <v>1022</v>
      </c>
      <c r="D116" s="4" t="s">
        <v>338</v>
      </c>
      <c r="E116" s="4" t="s">
        <v>334</v>
      </c>
      <c r="F116" s="22" t="s">
        <v>156</v>
      </c>
    </row>
    <row r="117" spans="1:6" x14ac:dyDescent="0.3">
      <c r="A117" s="4"/>
      <c r="B117" s="4"/>
      <c r="C117" s="4" t="s">
        <v>1023</v>
      </c>
      <c r="D117" s="4" t="s">
        <v>339</v>
      </c>
      <c r="E117" s="4" t="s">
        <v>337</v>
      </c>
    </row>
    <row r="118" spans="1:6" x14ac:dyDescent="0.3">
      <c r="A118" s="4"/>
      <c r="B118" s="4"/>
      <c r="C118" s="4" t="s">
        <v>1024</v>
      </c>
      <c r="D118" s="4" t="s">
        <v>340</v>
      </c>
      <c r="E118" s="4" t="s">
        <v>334</v>
      </c>
    </row>
    <row r="119" spans="1:6" x14ac:dyDescent="0.3">
      <c r="A119" s="4"/>
      <c r="B119" s="4"/>
      <c r="C119" s="4" t="s">
        <v>1025</v>
      </c>
      <c r="D119" s="4" t="s">
        <v>341</v>
      </c>
      <c r="E119" s="4" t="s">
        <v>342</v>
      </c>
    </row>
    <row r="120" spans="1:6" x14ac:dyDescent="0.3">
      <c r="A120" s="4" t="s">
        <v>353</v>
      </c>
      <c r="B120" s="4" t="s">
        <v>404</v>
      </c>
      <c r="C120" s="4" t="s">
        <v>1022</v>
      </c>
      <c r="D120" s="4" t="s">
        <v>338</v>
      </c>
      <c r="E120" s="4" t="s">
        <v>334</v>
      </c>
      <c r="F120" s="22" t="s">
        <v>1040</v>
      </c>
    </row>
    <row r="121" spans="1:6" x14ac:dyDescent="0.3">
      <c r="A121" s="4"/>
      <c r="B121" s="4"/>
      <c r="C121" s="4" t="s">
        <v>1023</v>
      </c>
      <c r="D121" s="4" t="s">
        <v>339</v>
      </c>
      <c r="E121" s="4" t="s">
        <v>337</v>
      </c>
    </row>
    <row r="122" spans="1:6" x14ac:dyDescent="0.3">
      <c r="A122" s="4"/>
      <c r="B122" s="4"/>
      <c r="C122" s="4" t="s">
        <v>1024</v>
      </c>
      <c r="D122" s="4" t="s">
        <v>340</v>
      </c>
      <c r="E122" s="4" t="s">
        <v>334</v>
      </c>
    </row>
    <row r="123" spans="1:6" ht="14.5" thickBot="1" x14ac:dyDescent="0.35">
      <c r="A123" s="76"/>
      <c r="B123" s="76"/>
      <c r="C123" s="76" t="s">
        <v>1025</v>
      </c>
      <c r="D123" s="76" t="s">
        <v>341</v>
      </c>
      <c r="E123" s="76" t="s">
        <v>342</v>
      </c>
      <c r="F123" s="75"/>
    </row>
    <row r="124" spans="1:6" ht="14.5" thickTop="1" x14ac:dyDescent="0.3">
      <c r="A124" s="72" t="s">
        <v>354</v>
      </c>
      <c r="B124" s="72" t="s">
        <v>405</v>
      </c>
      <c r="C124" s="72" t="s">
        <v>1026</v>
      </c>
      <c r="D124" s="72" t="s">
        <v>355</v>
      </c>
      <c r="E124" s="72" t="s">
        <v>356</v>
      </c>
    </row>
    <row r="125" spans="1:6" x14ac:dyDescent="0.3">
      <c r="A125" s="4"/>
      <c r="B125" s="4"/>
      <c r="C125" s="4" t="s">
        <v>1027</v>
      </c>
      <c r="D125" s="4" t="s">
        <v>357</v>
      </c>
      <c r="E125" s="4" t="s">
        <v>334</v>
      </c>
    </row>
    <row r="126" spans="1:6" x14ac:dyDescent="0.3">
      <c r="A126" s="4"/>
      <c r="B126" s="4"/>
      <c r="C126" s="4" t="s">
        <v>1028</v>
      </c>
      <c r="D126" s="4" t="s">
        <v>358</v>
      </c>
      <c r="E126" s="4" t="s">
        <v>337</v>
      </c>
    </row>
    <row r="127" spans="1:6" x14ac:dyDescent="0.3">
      <c r="A127" s="4"/>
      <c r="B127" s="4"/>
      <c r="C127" s="4" t="s">
        <v>1030</v>
      </c>
      <c r="D127" s="4" t="s">
        <v>359</v>
      </c>
      <c r="E127" s="4" t="s">
        <v>1101</v>
      </c>
    </row>
    <row r="128" spans="1:6" x14ac:dyDescent="0.3">
      <c r="A128" s="4"/>
      <c r="B128" s="4"/>
      <c r="C128" s="4" t="s">
        <v>1029</v>
      </c>
      <c r="D128" s="4" t="s">
        <v>361</v>
      </c>
      <c r="E128" s="4" t="s">
        <v>1102</v>
      </c>
    </row>
    <row r="129" spans="1:6" x14ac:dyDescent="0.3">
      <c r="A129" s="4" t="s">
        <v>363</v>
      </c>
      <c r="B129" s="4" t="s">
        <v>406</v>
      </c>
      <c r="C129" s="4" t="s">
        <v>1026</v>
      </c>
      <c r="D129" s="4" t="s">
        <v>355</v>
      </c>
      <c r="E129" s="4" t="s">
        <v>356</v>
      </c>
    </row>
    <row r="130" spans="1:6" x14ac:dyDescent="0.3">
      <c r="A130" s="4"/>
      <c r="B130" s="4"/>
      <c r="C130" s="4" t="s">
        <v>1027</v>
      </c>
      <c r="D130" s="4" t="s">
        <v>357</v>
      </c>
      <c r="E130" s="4" t="s">
        <v>334</v>
      </c>
    </row>
    <row r="131" spans="1:6" x14ac:dyDescent="0.3">
      <c r="A131" s="4"/>
      <c r="B131" s="4"/>
      <c r="C131" s="4" t="s">
        <v>1028</v>
      </c>
      <c r="D131" s="4" t="s">
        <v>358</v>
      </c>
      <c r="E131" s="4" t="s">
        <v>337</v>
      </c>
    </row>
    <row r="132" spans="1:6" x14ac:dyDescent="0.3">
      <c r="A132" s="4"/>
      <c r="B132" s="4"/>
      <c r="C132" s="4" t="s">
        <v>1030</v>
      </c>
      <c r="D132" s="4" t="s">
        <v>359</v>
      </c>
      <c r="E132" s="4" t="s">
        <v>360</v>
      </c>
    </row>
    <row r="133" spans="1:6" x14ac:dyDescent="0.3">
      <c r="A133" s="4"/>
      <c r="B133" s="4"/>
      <c r="C133" s="4" t="s">
        <v>1029</v>
      </c>
      <c r="D133" s="4" t="s">
        <v>361</v>
      </c>
      <c r="E133" s="4" t="s">
        <v>362</v>
      </c>
    </row>
    <row r="134" spans="1:6" x14ac:dyDescent="0.3">
      <c r="A134" s="4" t="s">
        <v>364</v>
      </c>
      <c r="B134" s="4" t="s">
        <v>407</v>
      </c>
      <c r="C134" s="4" t="s">
        <v>1026</v>
      </c>
      <c r="D134" s="4" t="s">
        <v>355</v>
      </c>
      <c r="E134" s="77" t="s">
        <v>1104</v>
      </c>
      <c r="F134" s="7" t="s">
        <v>1103</v>
      </c>
    </row>
    <row r="135" spans="1:6" x14ac:dyDescent="0.3">
      <c r="A135" s="4"/>
      <c r="B135" s="4"/>
      <c r="C135" s="4" t="s">
        <v>1027</v>
      </c>
      <c r="D135" s="4" t="s">
        <v>357</v>
      </c>
      <c r="E135" s="78" t="s">
        <v>334</v>
      </c>
    </row>
    <row r="136" spans="1:6" x14ac:dyDescent="0.3">
      <c r="A136" s="4"/>
      <c r="B136" s="4"/>
      <c r="C136" s="4" t="s">
        <v>1028</v>
      </c>
      <c r="D136" s="4" t="s">
        <v>358</v>
      </c>
      <c r="E136" s="78" t="s">
        <v>337</v>
      </c>
    </row>
    <row r="137" spans="1:6" x14ac:dyDescent="0.3">
      <c r="A137" s="4"/>
      <c r="B137" s="4"/>
      <c r="C137" s="4" t="s">
        <v>1030</v>
      </c>
      <c r="D137" s="4" t="s">
        <v>359</v>
      </c>
      <c r="E137" s="78" t="s">
        <v>1105</v>
      </c>
    </row>
    <row r="138" spans="1:6" x14ac:dyDescent="0.3">
      <c r="A138" s="4"/>
      <c r="B138" s="4"/>
      <c r="C138" s="4" t="s">
        <v>1029</v>
      </c>
      <c r="D138" s="4" t="s">
        <v>361</v>
      </c>
      <c r="E138" s="78" t="s">
        <v>1106</v>
      </c>
    </row>
    <row r="139" spans="1:6" x14ac:dyDescent="0.3">
      <c r="A139" s="4" t="s">
        <v>365</v>
      </c>
      <c r="B139" s="4" t="s">
        <v>408</v>
      </c>
      <c r="C139" s="4" t="s">
        <v>1026</v>
      </c>
      <c r="D139" s="4" t="s">
        <v>355</v>
      </c>
      <c r="E139" s="4" t="s">
        <v>356</v>
      </c>
    </row>
    <row r="140" spans="1:6" x14ac:dyDescent="0.3">
      <c r="A140" s="4"/>
      <c r="B140" s="4"/>
      <c r="C140" s="4" t="s">
        <v>1027</v>
      </c>
      <c r="D140" s="4" t="s">
        <v>357</v>
      </c>
      <c r="E140" s="4" t="s">
        <v>334</v>
      </c>
    </row>
    <row r="141" spans="1:6" x14ac:dyDescent="0.3">
      <c r="A141" s="4"/>
      <c r="B141" s="4"/>
      <c r="C141" s="4" t="s">
        <v>1028</v>
      </c>
      <c r="D141" s="4" t="s">
        <v>358</v>
      </c>
      <c r="E141" s="4" t="s">
        <v>337</v>
      </c>
    </row>
    <row r="142" spans="1:6" x14ac:dyDescent="0.3">
      <c r="A142" s="4"/>
      <c r="B142" s="4"/>
      <c r="C142" s="4" t="s">
        <v>1030</v>
      </c>
      <c r="D142" s="4" t="s">
        <v>359</v>
      </c>
      <c r="E142" s="4" t="s">
        <v>360</v>
      </c>
    </row>
    <row r="143" spans="1:6" x14ac:dyDescent="0.3">
      <c r="A143" s="4"/>
      <c r="B143" s="4"/>
      <c r="C143" s="4" t="s">
        <v>1029</v>
      </c>
      <c r="D143" s="4" t="s">
        <v>361</v>
      </c>
      <c r="E143" s="4" t="s">
        <v>362</v>
      </c>
    </row>
    <row r="144" spans="1:6" x14ac:dyDescent="0.3">
      <c r="A144" s="4" t="s">
        <v>366</v>
      </c>
      <c r="B144" s="4" t="s">
        <v>409</v>
      </c>
      <c r="C144" s="4" t="s">
        <v>1026</v>
      </c>
      <c r="D144" s="4" t="s">
        <v>355</v>
      </c>
      <c r="E144" s="4" t="s">
        <v>356</v>
      </c>
    </row>
    <row r="145" spans="1:5" x14ac:dyDescent="0.3">
      <c r="A145" s="4"/>
      <c r="B145" s="4"/>
      <c r="C145" s="4" t="s">
        <v>1027</v>
      </c>
      <c r="D145" s="4" t="s">
        <v>357</v>
      </c>
      <c r="E145" s="4" t="s">
        <v>334</v>
      </c>
    </row>
    <row r="146" spans="1:5" x14ac:dyDescent="0.3">
      <c r="A146" s="4"/>
      <c r="B146" s="4"/>
      <c r="C146" s="4" t="s">
        <v>1028</v>
      </c>
      <c r="D146" s="4" t="s">
        <v>358</v>
      </c>
      <c r="E146" s="4" t="s">
        <v>337</v>
      </c>
    </row>
    <row r="147" spans="1:5" x14ac:dyDescent="0.3">
      <c r="A147" s="4"/>
      <c r="B147" s="4"/>
      <c r="C147" s="4" t="s">
        <v>1030</v>
      </c>
      <c r="D147" s="4" t="s">
        <v>359</v>
      </c>
      <c r="E147" s="4" t="s">
        <v>360</v>
      </c>
    </row>
    <row r="148" spans="1:5" x14ac:dyDescent="0.3">
      <c r="A148" s="4"/>
      <c r="B148" s="4"/>
      <c r="C148" s="4" t="s">
        <v>1029</v>
      </c>
      <c r="D148" s="4" t="s">
        <v>361</v>
      </c>
      <c r="E148" s="4" t="s">
        <v>362</v>
      </c>
    </row>
    <row r="149" spans="1:5" x14ac:dyDescent="0.3">
      <c r="A149" s="4" t="s">
        <v>129</v>
      </c>
      <c r="B149" s="4" t="s">
        <v>410</v>
      </c>
      <c r="C149" s="4" t="s">
        <v>1026</v>
      </c>
      <c r="D149" s="4" t="s">
        <v>355</v>
      </c>
      <c r="E149" s="4" t="s">
        <v>356</v>
      </c>
    </row>
    <row r="150" spans="1:5" x14ac:dyDescent="0.3">
      <c r="A150" s="4"/>
      <c r="B150" s="4"/>
      <c r="C150" s="4" t="s">
        <v>1027</v>
      </c>
      <c r="D150" s="4" t="s">
        <v>357</v>
      </c>
      <c r="E150" s="4" t="s">
        <v>334</v>
      </c>
    </row>
    <row r="151" spans="1:5" x14ac:dyDescent="0.3">
      <c r="A151" s="4"/>
      <c r="B151" s="4"/>
      <c r="C151" s="4" t="s">
        <v>1028</v>
      </c>
      <c r="D151" s="4" t="s">
        <v>358</v>
      </c>
      <c r="E151" s="4" t="s">
        <v>337</v>
      </c>
    </row>
    <row r="152" spans="1:5" x14ac:dyDescent="0.3">
      <c r="A152" s="4"/>
      <c r="B152" s="4"/>
      <c r="C152" s="4" t="s">
        <v>1030</v>
      </c>
      <c r="D152" s="4" t="s">
        <v>359</v>
      </c>
      <c r="E152" s="4" t="s">
        <v>360</v>
      </c>
    </row>
    <row r="153" spans="1:5" x14ac:dyDescent="0.3">
      <c r="A153" s="4"/>
      <c r="B153" s="4"/>
      <c r="C153" s="4" t="s">
        <v>1029</v>
      </c>
      <c r="D153" s="4" t="s">
        <v>361</v>
      </c>
      <c r="E153" s="4" t="s">
        <v>1107</v>
      </c>
    </row>
    <row r="154" spans="1:5" x14ac:dyDescent="0.3">
      <c r="A154" s="4" t="s">
        <v>135</v>
      </c>
      <c r="B154" s="4" t="s">
        <v>411</v>
      </c>
      <c r="C154" s="4" t="s">
        <v>1026</v>
      </c>
      <c r="D154" s="4" t="s">
        <v>355</v>
      </c>
      <c r="E154" s="4" t="s">
        <v>356</v>
      </c>
    </row>
    <row r="155" spans="1:5" x14ac:dyDescent="0.3">
      <c r="A155" s="4"/>
      <c r="B155" s="4"/>
      <c r="C155" s="4" t="s">
        <v>1027</v>
      </c>
      <c r="D155" s="4" t="s">
        <v>357</v>
      </c>
      <c r="E155" s="4" t="s">
        <v>334</v>
      </c>
    </row>
    <row r="156" spans="1:5" x14ac:dyDescent="0.3">
      <c r="A156" s="4"/>
      <c r="B156" s="4"/>
      <c r="C156" s="4" t="s">
        <v>1028</v>
      </c>
      <c r="D156" s="4" t="s">
        <v>358</v>
      </c>
      <c r="E156" s="4" t="s">
        <v>337</v>
      </c>
    </row>
    <row r="157" spans="1:5" x14ac:dyDescent="0.3">
      <c r="A157" s="4"/>
      <c r="B157" s="4"/>
      <c r="C157" s="4" t="s">
        <v>1030</v>
      </c>
      <c r="D157" s="4" t="s">
        <v>359</v>
      </c>
      <c r="E157" s="4" t="s">
        <v>360</v>
      </c>
    </row>
    <row r="158" spans="1:5" x14ac:dyDescent="0.3">
      <c r="A158" s="4"/>
      <c r="B158" s="4"/>
      <c r="C158" s="4" t="s">
        <v>1029</v>
      </c>
      <c r="D158" s="4" t="s">
        <v>361</v>
      </c>
      <c r="E158" s="4" t="s">
        <v>1108</v>
      </c>
    </row>
    <row r="159" spans="1:5" x14ac:dyDescent="0.3">
      <c r="A159" s="4" t="s">
        <v>367</v>
      </c>
      <c r="B159" s="4" t="s">
        <v>412</v>
      </c>
      <c r="C159" s="4" t="s">
        <v>1026</v>
      </c>
      <c r="D159" s="4" t="s">
        <v>355</v>
      </c>
      <c r="E159" s="4" t="s">
        <v>356</v>
      </c>
    </row>
    <row r="160" spans="1:5" x14ac:dyDescent="0.3">
      <c r="A160" s="4"/>
      <c r="B160" s="4"/>
      <c r="C160" s="4" t="s">
        <v>1027</v>
      </c>
      <c r="D160" s="4" t="s">
        <v>357</v>
      </c>
      <c r="E160" s="4" t="s">
        <v>334</v>
      </c>
    </row>
    <row r="161" spans="1:6" x14ac:dyDescent="0.3">
      <c r="A161" s="4"/>
      <c r="B161" s="4"/>
      <c r="C161" s="4" t="s">
        <v>1028</v>
      </c>
      <c r="D161" s="4" t="s">
        <v>358</v>
      </c>
      <c r="E161" s="4" t="s">
        <v>337</v>
      </c>
    </row>
    <row r="162" spans="1:6" x14ac:dyDescent="0.3">
      <c r="A162" s="4"/>
      <c r="B162" s="4"/>
      <c r="C162" s="4" t="s">
        <v>1030</v>
      </c>
      <c r="D162" s="4" t="s">
        <v>359</v>
      </c>
      <c r="E162" s="4" t="s">
        <v>360</v>
      </c>
    </row>
    <row r="163" spans="1:6" ht="14.5" thickBot="1" x14ac:dyDescent="0.35">
      <c r="A163" s="76"/>
      <c r="B163" s="76"/>
      <c r="C163" s="76" t="s">
        <v>1029</v>
      </c>
      <c r="D163" s="76" t="s">
        <v>361</v>
      </c>
      <c r="E163" s="76" t="s">
        <v>1108</v>
      </c>
      <c r="F163" s="75"/>
    </row>
    <row r="164" spans="1:6" ht="14.5" thickTop="1" x14ac:dyDescent="0.3">
      <c r="A164" s="72" t="s">
        <v>368</v>
      </c>
      <c r="B164" s="72" t="s">
        <v>413</v>
      </c>
      <c r="C164" s="72" t="s">
        <v>1031</v>
      </c>
      <c r="D164" s="72" t="s">
        <v>369</v>
      </c>
      <c r="E164" s="72" t="s">
        <v>370</v>
      </c>
    </row>
    <row r="165" spans="1:6" x14ac:dyDescent="0.3">
      <c r="A165" s="4"/>
      <c r="B165" s="4"/>
      <c r="C165" s="4" t="s">
        <v>1032</v>
      </c>
      <c r="D165" s="4" t="s">
        <v>371</v>
      </c>
      <c r="E165" s="4" t="s">
        <v>370</v>
      </c>
    </row>
    <row r="166" spans="1:6" x14ac:dyDescent="0.3">
      <c r="A166" s="4" t="s">
        <v>372</v>
      </c>
      <c r="B166" s="4" t="s">
        <v>414</v>
      </c>
      <c r="C166" s="4" t="s">
        <v>1031</v>
      </c>
      <c r="D166" s="4" t="s">
        <v>369</v>
      </c>
      <c r="E166" s="4" t="s">
        <v>370</v>
      </c>
    </row>
    <row r="167" spans="1:6" x14ac:dyDescent="0.3">
      <c r="A167" s="4"/>
      <c r="B167" s="4"/>
      <c r="C167" s="4" t="s">
        <v>1032</v>
      </c>
      <c r="D167" s="4" t="s">
        <v>371</v>
      </c>
      <c r="E167" s="4" t="s">
        <v>370</v>
      </c>
    </row>
    <row r="168" spans="1:6" x14ac:dyDescent="0.3">
      <c r="A168" s="4" t="s">
        <v>373</v>
      </c>
      <c r="B168" s="4" t="s">
        <v>415</v>
      </c>
      <c r="C168" s="4" t="s">
        <v>1031</v>
      </c>
      <c r="D168" s="4" t="s">
        <v>369</v>
      </c>
      <c r="E168" s="77" t="s">
        <v>1109</v>
      </c>
    </row>
    <row r="169" spans="1:6" x14ac:dyDescent="0.3">
      <c r="A169" s="4"/>
      <c r="B169" s="4"/>
      <c r="C169" s="4" t="s">
        <v>1032</v>
      </c>
      <c r="D169" s="4" t="s">
        <v>371</v>
      </c>
      <c r="E169" s="78" t="s">
        <v>1110</v>
      </c>
    </row>
    <row r="170" spans="1:6" x14ac:dyDescent="0.3">
      <c r="A170" s="4" t="s">
        <v>374</v>
      </c>
      <c r="B170" s="4" t="s">
        <v>416</v>
      </c>
      <c r="C170" s="4" t="s">
        <v>1031</v>
      </c>
      <c r="D170" s="4" t="s">
        <v>369</v>
      </c>
      <c r="E170" s="4" t="s">
        <v>370</v>
      </c>
    </row>
    <row r="171" spans="1:6" x14ac:dyDescent="0.3">
      <c r="A171" s="4"/>
      <c r="B171" s="4"/>
      <c r="C171" s="4" t="s">
        <v>1032</v>
      </c>
      <c r="D171" s="4" t="s">
        <v>371</v>
      </c>
      <c r="E171" s="4" t="s">
        <v>370</v>
      </c>
    </row>
    <row r="172" spans="1:6" x14ac:dyDescent="0.3">
      <c r="A172" s="4" t="s">
        <v>375</v>
      </c>
      <c r="B172" s="4" t="s">
        <v>417</v>
      </c>
      <c r="C172" s="4" t="s">
        <v>1031</v>
      </c>
      <c r="D172" s="4" t="s">
        <v>369</v>
      </c>
      <c r="E172" s="4" t="s">
        <v>370</v>
      </c>
    </row>
    <row r="173" spans="1:6" x14ac:dyDescent="0.3">
      <c r="A173" s="4"/>
      <c r="B173" s="4"/>
      <c r="C173" s="4" t="s">
        <v>1032</v>
      </c>
      <c r="D173" s="4" t="s">
        <v>371</v>
      </c>
      <c r="E173" s="4" t="s">
        <v>370</v>
      </c>
    </row>
    <row r="174" spans="1:6" x14ac:dyDescent="0.3">
      <c r="A174" s="4" t="s">
        <v>130</v>
      </c>
      <c r="B174" s="4" t="s">
        <v>418</v>
      </c>
      <c r="C174" s="4" t="s">
        <v>1031</v>
      </c>
      <c r="D174" s="4" t="s">
        <v>369</v>
      </c>
      <c r="E174" s="4" t="s">
        <v>370</v>
      </c>
    </row>
    <row r="175" spans="1:6" x14ac:dyDescent="0.3">
      <c r="A175" s="4"/>
      <c r="B175" s="4"/>
      <c r="C175" s="4" t="s">
        <v>1032</v>
      </c>
      <c r="D175" s="4" t="s">
        <v>371</v>
      </c>
      <c r="E175" s="4" t="s">
        <v>370</v>
      </c>
    </row>
    <row r="176" spans="1:6" x14ac:dyDescent="0.3">
      <c r="A176" s="4" t="s">
        <v>136</v>
      </c>
      <c r="B176" s="4" t="s">
        <v>419</v>
      </c>
      <c r="C176" s="4" t="s">
        <v>1031</v>
      </c>
      <c r="D176" s="4" t="s">
        <v>369</v>
      </c>
      <c r="E176" s="4" t="s">
        <v>370</v>
      </c>
    </row>
    <row r="177" spans="1:6" x14ac:dyDescent="0.3">
      <c r="A177" s="4"/>
      <c r="B177" s="4"/>
      <c r="C177" s="4" t="s">
        <v>1032</v>
      </c>
      <c r="D177" s="4" t="s">
        <v>371</v>
      </c>
      <c r="E177" s="4" t="s">
        <v>370</v>
      </c>
    </row>
    <row r="178" spans="1:6" x14ac:dyDescent="0.3">
      <c r="A178" s="4" t="s">
        <v>376</v>
      </c>
      <c r="B178" s="4" t="s">
        <v>420</v>
      </c>
      <c r="C178" s="4" t="s">
        <v>1031</v>
      </c>
      <c r="D178" s="4" t="s">
        <v>369</v>
      </c>
      <c r="E178" s="4" t="s">
        <v>370</v>
      </c>
    </row>
    <row r="179" spans="1:6" ht="14.5" thickBot="1" x14ac:dyDescent="0.35">
      <c r="A179" s="76"/>
      <c r="B179" s="76"/>
      <c r="C179" s="76" t="s">
        <v>1032</v>
      </c>
      <c r="D179" s="76" t="s">
        <v>371</v>
      </c>
      <c r="E179" s="76" t="s">
        <v>370</v>
      </c>
      <c r="F179" s="75"/>
    </row>
    <row r="180" spans="1:6" ht="14.5" thickTop="1" x14ac:dyDescent="0.3">
      <c r="A180" s="72" t="s">
        <v>377</v>
      </c>
      <c r="B180" s="72" t="s">
        <v>421</v>
      </c>
      <c r="C180" s="72" t="s">
        <v>1033</v>
      </c>
      <c r="D180" s="72" t="s">
        <v>355</v>
      </c>
      <c r="E180" s="72" t="s">
        <v>334</v>
      </c>
    </row>
    <row r="181" spans="1:6" x14ac:dyDescent="0.3">
      <c r="A181" s="4"/>
      <c r="B181" s="4"/>
      <c r="C181" s="4" t="s">
        <v>1034</v>
      </c>
      <c r="D181" s="4" t="s">
        <v>357</v>
      </c>
      <c r="E181" s="4" t="s">
        <v>337</v>
      </c>
    </row>
    <row r="182" spans="1:6" x14ac:dyDescent="0.3">
      <c r="A182" s="4"/>
      <c r="B182" s="4"/>
      <c r="C182" s="4" t="s">
        <v>1035</v>
      </c>
      <c r="D182" s="4" t="s">
        <v>358</v>
      </c>
      <c r="E182" s="4" t="s">
        <v>337</v>
      </c>
    </row>
    <row r="183" spans="1:6" x14ac:dyDescent="0.3">
      <c r="A183" s="4"/>
      <c r="B183" s="4"/>
      <c r="C183" s="4" t="s">
        <v>1036</v>
      </c>
      <c r="D183" s="4" t="s">
        <v>359</v>
      </c>
      <c r="E183" s="4" t="s">
        <v>1101</v>
      </c>
    </row>
    <row r="184" spans="1:6" x14ac:dyDescent="0.3">
      <c r="A184" s="4"/>
      <c r="B184" s="4"/>
      <c r="C184" s="4" t="s">
        <v>1037</v>
      </c>
      <c r="D184" s="4" t="s">
        <v>361</v>
      </c>
      <c r="E184" s="4" t="s">
        <v>1102</v>
      </c>
    </row>
    <row r="185" spans="1:6" x14ac:dyDescent="0.3">
      <c r="A185" s="4" t="s">
        <v>378</v>
      </c>
      <c r="B185" s="4" t="s">
        <v>422</v>
      </c>
      <c r="C185" s="4" t="s">
        <v>1033</v>
      </c>
      <c r="D185" s="4" t="s">
        <v>355</v>
      </c>
      <c r="E185" s="4" t="s">
        <v>334</v>
      </c>
    </row>
    <row r="186" spans="1:6" x14ac:dyDescent="0.3">
      <c r="A186" s="4"/>
      <c r="B186" s="4"/>
      <c r="C186" s="4" t="s">
        <v>1034</v>
      </c>
      <c r="D186" s="4" t="s">
        <v>357</v>
      </c>
      <c r="E186" s="4" t="s">
        <v>337</v>
      </c>
    </row>
    <row r="187" spans="1:6" x14ac:dyDescent="0.3">
      <c r="A187" s="4"/>
      <c r="B187" s="4"/>
      <c r="C187" s="4" t="s">
        <v>1035</v>
      </c>
      <c r="D187" s="4" t="s">
        <v>358</v>
      </c>
      <c r="E187" s="4" t="s">
        <v>337</v>
      </c>
    </row>
    <row r="188" spans="1:6" x14ac:dyDescent="0.3">
      <c r="A188" s="4"/>
      <c r="B188" s="4"/>
      <c r="C188" s="4" t="s">
        <v>1036</v>
      </c>
      <c r="D188" s="4" t="s">
        <v>359</v>
      </c>
      <c r="E188" s="4" t="s">
        <v>360</v>
      </c>
    </row>
    <row r="189" spans="1:6" x14ac:dyDescent="0.3">
      <c r="A189" s="4"/>
      <c r="B189" s="4"/>
      <c r="C189" s="4" t="s">
        <v>1037</v>
      </c>
      <c r="D189" s="4" t="s">
        <v>361</v>
      </c>
      <c r="E189" s="4" t="s">
        <v>362</v>
      </c>
    </row>
    <row r="190" spans="1:6" x14ac:dyDescent="0.3">
      <c r="A190" s="4" t="s">
        <v>379</v>
      </c>
      <c r="B190" s="4" t="s">
        <v>423</v>
      </c>
      <c r="C190" s="4" t="s">
        <v>1033</v>
      </c>
      <c r="D190" s="4" t="s">
        <v>355</v>
      </c>
      <c r="E190" s="4" t="s">
        <v>334</v>
      </c>
      <c r="F190" s="7" t="s">
        <v>1111</v>
      </c>
    </row>
    <row r="191" spans="1:6" x14ac:dyDescent="0.3">
      <c r="A191" s="4"/>
      <c r="B191" s="4"/>
      <c r="C191" s="4" t="s">
        <v>1034</v>
      </c>
      <c r="D191" s="4" t="s">
        <v>357</v>
      </c>
      <c r="E191" s="64" t="s">
        <v>334</v>
      </c>
    </row>
    <row r="192" spans="1:6" x14ac:dyDescent="0.3">
      <c r="A192" s="4"/>
      <c r="B192" s="4"/>
      <c r="C192" s="4" t="s">
        <v>1035</v>
      </c>
      <c r="D192" s="4" t="s">
        <v>358</v>
      </c>
      <c r="E192" s="4" t="s">
        <v>337</v>
      </c>
    </row>
    <row r="193" spans="1:5" x14ac:dyDescent="0.3">
      <c r="A193" s="4"/>
      <c r="B193" s="4"/>
      <c r="C193" s="4" t="s">
        <v>1036</v>
      </c>
      <c r="D193" s="4" t="s">
        <v>359</v>
      </c>
      <c r="E193" s="4" t="s">
        <v>360</v>
      </c>
    </row>
    <row r="194" spans="1:5" x14ac:dyDescent="0.3">
      <c r="A194" s="4"/>
      <c r="B194" s="4"/>
      <c r="C194" s="4" t="s">
        <v>1037</v>
      </c>
      <c r="D194" s="4" t="s">
        <v>361</v>
      </c>
      <c r="E194" s="77" t="s">
        <v>1106</v>
      </c>
    </row>
    <row r="195" spans="1:5" x14ac:dyDescent="0.3">
      <c r="A195" s="4" t="s">
        <v>380</v>
      </c>
      <c r="B195" s="4" t="s">
        <v>424</v>
      </c>
      <c r="C195" s="4" t="s">
        <v>1033</v>
      </c>
      <c r="D195" s="4" t="s">
        <v>355</v>
      </c>
      <c r="E195" s="4" t="s">
        <v>334</v>
      </c>
    </row>
    <row r="196" spans="1:5" x14ac:dyDescent="0.3">
      <c r="A196" s="4"/>
      <c r="B196" s="4"/>
      <c r="C196" s="4" t="s">
        <v>1034</v>
      </c>
      <c r="D196" s="4" t="s">
        <v>357</v>
      </c>
      <c r="E196" s="4" t="s">
        <v>337</v>
      </c>
    </row>
    <row r="197" spans="1:5" x14ac:dyDescent="0.3">
      <c r="A197" s="4"/>
      <c r="B197" s="4"/>
      <c r="C197" s="4" t="s">
        <v>1035</v>
      </c>
      <c r="D197" s="4" t="s">
        <v>358</v>
      </c>
      <c r="E197" s="4" t="s">
        <v>337</v>
      </c>
    </row>
    <row r="198" spans="1:5" x14ac:dyDescent="0.3">
      <c r="A198" s="4"/>
      <c r="B198" s="4"/>
      <c r="C198" s="4" t="s">
        <v>1036</v>
      </c>
      <c r="D198" s="4" t="s">
        <v>359</v>
      </c>
      <c r="E198" s="4" t="s">
        <v>360</v>
      </c>
    </row>
    <row r="199" spans="1:5" x14ac:dyDescent="0.3">
      <c r="A199" s="4"/>
      <c r="B199" s="4"/>
      <c r="C199" s="4" t="s">
        <v>1037</v>
      </c>
      <c r="D199" s="4" t="s">
        <v>361</v>
      </c>
      <c r="E199" s="4" t="s">
        <v>362</v>
      </c>
    </row>
    <row r="200" spans="1:5" x14ac:dyDescent="0.3">
      <c r="A200" s="4" t="s">
        <v>381</v>
      </c>
      <c r="B200" s="4" t="s">
        <v>425</v>
      </c>
      <c r="C200" s="4" t="s">
        <v>1033</v>
      </c>
      <c r="D200" s="4" t="s">
        <v>355</v>
      </c>
      <c r="E200" s="4" t="s">
        <v>334</v>
      </c>
    </row>
    <row r="201" spans="1:5" x14ac:dyDescent="0.3">
      <c r="A201" s="4"/>
      <c r="B201" s="4"/>
      <c r="C201" s="4" t="s">
        <v>1034</v>
      </c>
      <c r="D201" s="4" t="s">
        <v>357</v>
      </c>
      <c r="E201" s="4" t="s">
        <v>337</v>
      </c>
    </row>
    <row r="202" spans="1:5" x14ac:dyDescent="0.3">
      <c r="A202" s="4"/>
      <c r="B202" s="4"/>
      <c r="C202" s="4" t="s">
        <v>1035</v>
      </c>
      <c r="D202" s="4" t="s">
        <v>358</v>
      </c>
      <c r="E202" s="4" t="s">
        <v>337</v>
      </c>
    </row>
    <row r="203" spans="1:5" x14ac:dyDescent="0.3">
      <c r="A203" s="4"/>
      <c r="B203" s="4"/>
      <c r="C203" s="4" t="s">
        <v>1036</v>
      </c>
      <c r="D203" s="4" t="s">
        <v>359</v>
      </c>
      <c r="E203" s="4" t="s">
        <v>360</v>
      </c>
    </row>
    <row r="204" spans="1:5" x14ac:dyDescent="0.3">
      <c r="A204" s="4"/>
      <c r="B204" s="4"/>
      <c r="C204" s="4" t="s">
        <v>1037</v>
      </c>
      <c r="D204" s="4" t="s">
        <v>361</v>
      </c>
      <c r="E204" s="4" t="s">
        <v>1112</v>
      </c>
    </row>
    <row r="205" spans="1:5" x14ac:dyDescent="0.3">
      <c r="A205" s="4" t="s">
        <v>131</v>
      </c>
      <c r="B205" s="4" t="s">
        <v>426</v>
      </c>
      <c r="C205" s="4" t="s">
        <v>1033</v>
      </c>
      <c r="D205" s="4" t="s">
        <v>355</v>
      </c>
      <c r="E205" s="4" t="s">
        <v>334</v>
      </c>
    </row>
    <row r="206" spans="1:5" x14ac:dyDescent="0.3">
      <c r="A206" s="4"/>
      <c r="B206" s="4"/>
      <c r="C206" s="4" t="s">
        <v>1034</v>
      </c>
      <c r="D206" s="4" t="s">
        <v>357</v>
      </c>
      <c r="E206" s="4" t="s">
        <v>1099</v>
      </c>
    </row>
    <row r="207" spans="1:5" x14ac:dyDescent="0.3">
      <c r="A207" s="4"/>
      <c r="B207" s="4"/>
      <c r="C207" s="4" t="s">
        <v>1035</v>
      </c>
      <c r="D207" s="4" t="s">
        <v>358</v>
      </c>
      <c r="E207" s="4" t="s">
        <v>337</v>
      </c>
    </row>
    <row r="208" spans="1:5" x14ac:dyDescent="0.3">
      <c r="A208" s="4"/>
      <c r="B208" s="4"/>
      <c r="C208" s="4" t="s">
        <v>1036</v>
      </c>
      <c r="D208" s="4" t="s">
        <v>359</v>
      </c>
      <c r="E208" s="4" t="s">
        <v>360</v>
      </c>
    </row>
    <row r="209" spans="1:6" x14ac:dyDescent="0.3">
      <c r="A209" s="4"/>
      <c r="B209" s="4"/>
      <c r="C209" s="4" t="s">
        <v>1037</v>
      </c>
      <c r="D209" s="4" t="s">
        <v>361</v>
      </c>
      <c r="E209" s="4" t="s">
        <v>1113</v>
      </c>
    </row>
    <row r="210" spans="1:6" x14ac:dyDescent="0.3">
      <c r="A210" s="4" t="s">
        <v>137</v>
      </c>
      <c r="B210" s="4" t="s">
        <v>427</v>
      </c>
      <c r="C210" s="4" t="s">
        <v>1033</v>
      </c>
      <c r="D210" s="4" t="s">
        <v>355</v>
      </c>
      <c r="E210" s="4" t="s">
        <v>334</v>
      </c>
    </row>
    <row r="211" spans="1:6" x14ac:dyDescent="0.3">
      <c r="A211" s="4"/>
      <c r="B211" s="4"/>
      <c r="C211" s="4" t="s">
        <v>1034</v>
      </c>
      <c r="D211" s="4" t="s">
        <v>357</v>
      </c>
      <c r="E211" s="4" t="s">
        <v>337</v>
      </c>
    </row>
    <row r="212" spans="1:6" x14ac:dyDescent="0.3">
      <c r="A212" s="4"/>
      <c r="B212" s="4"/>
      <c r="C212" s="4" t="s">
        <v>1035</v>
      </c>
      <c r="D212" s="4" t="s">
        <v>358</v>
      </c>
      <c r="E212" s="4" t="s">
        <v>337</v>
      </c>
    </row>
    <row r="213" spans="1:6" x14ac:dyDescent="0.3">
      <c r="A213" s="4"/>
      <c r="B213" s="4"/>
      <c r="C213" s="4" t="s">
        <v>1036</v>
      </c>
      <c r="D213" s="4" t="s">
        <v>359</v>
      </c>
      <c r="E213" s="4" t="s">
        <v>360</v>
      </c>
    </row>
    <row r="214" spans="1:6" x14ac:dyDescent="0.3">
      <c r="A214" s="4"/>
      <c r="B214" s="4"/>
      <c r="C214" s="4" t="s">
        <v>1037</v>
      </c>
      <c r="D214" s="4" t="s">
        <v>361</v>
      </c>
      <c r="E214" s="4" t="s">
        <v>1114</v>
      </c>
    </row>
    <row r="215" spans="1:6" x14ac:dyDescent="0.3">
      <c r="A215" s="4" t="s">
        <v>382</v>
      </c>
      <c r="B215" s="4" t="s">
        <v>428</v>
      </c>
      <c r="C215" s="4" t="s">
        <v>1033</v>
      </c>
      <c r="D215" s="4" t="s">
        <v>355</v>
      </c>
      <c r="E215" s="4" t="s">
        <v>334</v>
      </c>
    </row>
    <row r="216" spans="1:6" x14ac:dyDescent="0.3">
      <c r="A216" s="4"/>
      <c r="B216" s="4"/>
      <c r="C216" s="4" t="s">
        <v>1034</v>
      </c>
      <c r="D216" s="4" t="s">
        <v>357</v>
      </c>
      <c r="E216" s="4" t="s">
        <v>337</v>
      </c>
    </row>
    <row r="217" spans="1:6" x14ac:dyDescent="0.3">
      <c r="A217" s="4"/>
      <c r="B217" s="4"/>
      <c r="C217" s="4" t="s">
        <v>1035</v>
      </c>
      <c r="D217" s="4" t="s">
        <v>358</v>
      </c>
      <c r="E217" s="4" t="s">
        <v>337</v>
      </c>
    </row>
    <row r="218" spans="1:6" x14ac:dyDescent="0.3">
      <c r="A218" s="4"/>
      <c r="B218" s="4"/>
      <c r="C218" s="4" t="s">
        <v>1036</v>
      </c>
      <c r="D218" s="4" t="s">
        <v>359</v>
      </c>
      <c r="E218" s="4" t="s">
        <v>360</v>
      </c>
    </row>
    <row r="219" spans="1:6" ht="14.5" thickBot="1" x14ac:dyDescent="0.35">
      <c r="A219" s="76"/>
      <c r="B219" s="76"/>
      <c r="C219" s="76" t="s">
        <v>1037</v>
      </c>
      <c r="D219" s="76" t="s">
        <v>361</v>
      </c>
      <c r="E219" s="76" t="s">
        <v>1113</v>
      </c>
      <c r="F219" s="75"/>
    </row>
    <row r="220" spans="1:6" ht="14.5" thickTop="1" x14ac:dyDescent="0.3">
      <c r="A220" s="72" t="s">
        <v>383</v>
      </c>
      <c r="B220" s="72" t="s">
        <v>429</v>
      </c>
      <c r="C220" s="72" t="s">
        <v>1038</v>
      </c>
      <c r="D220" s="72" t="s">
        <v>369</v>
      </c>
      <c r="E220" s="72" t="s">
        <v>370</v>
      </c>
    </row>
    <row r="221" spans="1:6" x14ac:dyDescent="0.3">
      <c r="A221" s="4"/>
      <c r="B221" s="4"/>
      <c r="C221" s="4" t="s">
        <v>1039</v>
      </c>
      <c r="D221" s="4" t="s">
        <v>371</v>
      </c>
      <c r="E221" s="4" t="s">
        <v>370</v>
      </c>
    </row>
    <row r="222" spans="1:6" x14ac:dyDescent="0.3">
      <c r="A222" s="4" t="s">
        <v>384</v>
      </c>
      <c r="B222" s="4" t="s">
        <v>430</v>
      </c>
      <c r="C222" s="4" t="s">
        <v>1038</v>
      </c>
      <c r="D222" s="4" t="s">
        <v>369</v>
      </c>
      <c r="E222" s="4" t="s">
        <v>370</v>
      </c>
    </row>
    <row r="223" spans="1:6" x14ac:dyDescent="0.3">
      <c r="A223" s="4"/>
      <c r="B223" s="4"/>
      <c r="C223" s="4" t="s">
        <v>1039</v>
      </c>
      <c r="D223" s="4" t="s">
        <v>371</v>
      </c>
      <c r="E223" s="4" t="s">
        <v>370</v>
      </c>
    </row>
    <row r="224" spans="1:6" x14ac:dyDescent="0.3">
      <c r="A224" s="4" t="s">
        <v>385</v>
      </c>
      <c r="B224" s="4" t="s">
        <v>431</v>
      </c>
      <c r="C224" s="4" t="s">
        <v>1038</v>
      </c>
      <c r="D224" s="4" t="s">
        <v>369</v>
      </c>
      <c r="E224" s="77" t="s">
        <v>1115</v>
      </c>
    </row>
    <row r="225" spans="1:5" x14ac:dyDescent="0.3">
      <c r="A225" s="4"/>
      <c r="B225" s="4"/>
      <c r="C225" s="4" t="s">
        <v>1039</v>
      </c>
      <c r="D225" s="4" t="s">
        <v>371</v>
      </c>
      <c r="E225" s="78" t="s">
        <v>1116</v>
      </c>
    </row>
    <row r="226" spans="1:5" x14ac:dyDescent="0.3">
      <c r="A226" s="4" t="s">
        <v>386</v>
      </c>
      <c r="B226" s="4" t="s">
        <v>432</v>
      </c>
      <c r="C226" s="4" t="s">
        <v>1038</v>
      </c>
      <c r="D226" s="4" t="s">
        <v>369</v>
      </c>
      <c r="E226" s="4" t="s">
        <v>370</v>
      </c>
    </row>
    <row r="227" spans="1:5" x14ac:dyDescent="0.3">
      <c r="A227" s="4"/>
      <c r="B227" s="4"/>
      <c r="C227" s="4" t="s">
        <v>1039</v>
      </c>
      <c r="D227" s="4" t="s">
        <v>371</v>
      </c>
      <c r="E227" s="4" t="s">
        <v>370</v>
      </c>
    </row>
    <row r="228" spans="1:5" x14ac:dyDescent="0.3">
      <c r="A228" s="4" t="s">
        <v>387</v>
      </c>
      <c r="B228" s="4" t="s">
        <v>433</v>
      </c>
      <c r="C228" s="4" t="s">
        <v>1038</v>
      </c>
      <c r="D228" s="4" t="s">
        <v>369</v>
      </c>
      <c r="E228" s="4" t="s">
        <v>370</v>
      </c>
    </row>
    <row r="229" spans="1:5" x14ac:dyDescent="0.3">
      <c r="A229" s="4"/>
      <c r="B229" s="4"/>
      <c r="C229" s="4" t="s">
        <v>1039</v>
      </c>
      <c r="D229" s="4" t="s">
        <v>371</v>
      </c>
      <c r="E229" s="4" t="s">
        <v>370</v>
      </c>
    </row>
    <row r="230" spans="1:5" x14ac:dyDescent="0.3">
      <c r="A230" s="4" t="s">
        <v>132</v>
      </c>
      <c r="B230" s="4" t="s">
        <v>434</v>
      </c>
      <c r="C230" s="4" t="s">
        <v>1038</v>
      </c>
      <c r="D230" s="4" t="s">
        <v>369</v>
      </c>
      <c r="E230" s="4" t="s">
        <v>370</v>
      </c>
    </row>
    <row r="231" spans="1:5" x14ac:dyDescent="0.3">
      <c r="A231" s="4"/>
      <c r="B231" s="4"/>
      <c r="C231" s="4" t="s">
        <v>1039</v>
      </c>
      <c r="D231" s="4" t="s">
        <v>371</v>
      </c>
      <c r="E231" s="4" t="s">
        <v>370</v>
      </c>
    </row>
    <row r="232" spans="1:5" x14ac:dyDescent="0.3">
      <c r="A232" s="4" t="s">
        <v>138</v>
      </c>
      <c r="B232" s="4" t="s">
        <v>435</v>
      </c>
      <c r="C232" s="4" t="s">
        <v>1038</v>
      </c>
      <c r="D232" s="4" t="s">
        <v>369</v>
      </c>
      <c r="E232" s="4" t="s">
        <v>370</v>
      </c>
    </row>
    <row r="233" spans="1:5" x14ac:dyDescent="0.3">
      <c r="A233" s="4"/>
      <c r="B233" s="4"/>
      <c r="C233" s="4" t="s">
        <v>1039</v>
      </c>
      <c r="D233" s="4" t="s">
        <v>371</v>
      </c>
      <c r="E233" s="4" t="s">
        <v>370</v>
      </c>
    </row>
    <row r="234" spans="1:5" x14ac:dyDescent="0.3">
      <c r="A234" s="4" t="s">
        <v>388</v>
      </c>
      <c r="B234" s="4" t="s">
        <v>436</v>
      </c>
      <c r="C234" s="4" t="s">
        <v>1038</v>
      </c>
      <c r="D234" s="4" t="s">
        <v>369</v>
      </c>
      <c r="E234" s="4" t="s">
        <v>370</v>
      </c>
    </row>
    <row r="235" spans="1:5" x14ac:dyDescent="0.3">
      <c r="A235" s="4"/>
      <c r="B235" s="4"/>
      <c r="C235" s="4" t="s">
        <v>1039</v>
      </c>
      <c r="D235" s="4" t="s">
        <v>371</v>
      </c>
      <c r="E235" s="4" t="s">
        <v>370</v>
      </c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topLeftCell="A7" zoomScaleNormal="100" workbookViewId="0">
      <selection activeCell="B13" sqref="B13"/>
    </sheetView>
  </sheetViews>
  <sheetFormatPr defaultRowHeight="14" x14ac:dyDescent="0.3"/>
  <cols>
    <col min="1" max="1" width="30.33203125" customWidth="1"/>
    <col min="2" max="2" width="24.58203125" customWidth="1"/>
    <col min="3" max="3" width="23.41406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3" t="s">
        <v>0</v>
      </c>
      <c r="B1" s="13" t="s">
        <v>284</v>
      </c>
      <c r="C1" s="13"/>
      <c r="D1" s="13"/>
      <c r="E1" s="14"/>
      <c r="F1" s="14"/>
    </row>
    <row r="2" spans="1:7" x14ac:dyDescent="0.3">
      <c r="A2" s="13" t="s">
        <v>1</v>
      </c>
      <c r="B2" s="13" t="s">
        <v>100</v>
      </c>
      <c r="C2" s="13"/>
      <c r="D2" s="13"/>
      <c r="E2" s="14"/>
      <c r="F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1144</v>
      </c>
    </row>
    <row r="4" spans="1:7" x14ac:dyDescent="0.3">
      <c r="A4" s="38" t="s">
        <v>111</v>
      </c>
      <c r="B4" s="39" t="s">
        <v>278</v>
      </c>
      <c r="C4" s="39" t="s">
        <v>184</v>
      </c>
      <c r="D4" s="39" t="s">
        <v>16</v>
      </c>
      <c r="E4" s="40" t="s">
        <v>21</v>
      </c>
      <c r="G4" s="47" t="s">
        <v>290</v>
      </c>
    </row>
    <row r="5" spans="1:7" x14ac:dyDescent="0.3">
      <c r="A5" s="41" t="s">
        <v>285</v>
      </c>
      <c r="B5" s="39" t="s">
        <v>286</v>
      </c>
      <c r="C5" s="39" t="s">
        <v>287</v>
      </c>
      <c r="D5" s="39" t="s">
        <v>288</v>
      </c>
      <c r="E5" s="40" t="s">
        <v>289</v>
      </c>
      <c r="G5" s="47" t="s">
        <v>291</v>
      </c>
    </row>
    <row r="6" spans="1:7" x14ac:dyDescent="0.3">
      <c r="A6" s="42" t="s">
        <v>140</v>
      </c>
      <c r="B6" s="42" t="s">
        <v>279</v>
      </c>
      <c r="C6" s="42" t="s">
        <v>139</v>
      </c>
      <c r="D6" s="42" t="s">
        <v>17</v>
      </c>
      <c r="E6" s="83" t="str">
        <f>"0x"&amp;DEC2HEX(umctl2_timing!B12)</f>
        <v>0x11</v>
      </c>
      <c r="G6" s="94" t="s">
        <v>292</v>
      </c>
    </row>
    <row r="7" spans="1:7" x14ac:dyDescent="0.3">
      <c r="A7" s="42" t="s">
        <v>141</v>
      </c>
      <c r="B7" s="42" t="s">
        <v>280</v>
      </c>
      <c r="C7" s="42" t="s">
        <v>142</v>
      </c>
      <c r="D7" s="42" t="s">
        <v>20</v>
      </c>
      <c r="E7" s="84" t="s">
        <v>21</v>
      </c>
      <c r="G7" s="95"/>
    </row>
    <row r="8" spans="1:7" x14ac:dyDescent="0.3">
      <c r="A8" s="42" t="s">
        <v>143</v>
      </c>
      <c r="B8" s="42" t="s">
        <v>281</v>
      </c>
      <c r="C8" s="42" t="s">
        <v>144</v>
      </c>
      <c r="D8" s="42" t="s">
        <v>20</v>
      </c>
      <c r="E8" s="83" t="str">
        <f>"0x"&amp;DEC2HEX(umctl2_timing!B16)</f>
        <v>0xC</v>
      </c>
      <c r="G8" s="95"/>
    </row>
    <row r="9" spans="1:7" x14ac:dyDescent="0.3">
      <c r="A9" s="56" t="s">
        <v>911</v>
      </c>
      <c r="B9" s="56" t="s">
        <v>912</v>
      </c>
      <c r="C9" s="56" t="s">
        <v>913</v>
      </c>
      <c r="D9" s="56" t="s">
        <v>914</v>
      </c>
      <c r="E9" s="90" t="s">
        <v>915</v>
      </c>
      <c r="F9" s="80" t="s">
        <v>1136</v>
      </c>
      <c r="G9" s="95"/>
    </row>
    <row r="10" spans="1:7" ht="28" x14ac:dyDescent="0.3">
      <c r="A10" s="42" t="s">
        <v>180</v>
      </c>
      <c r="B10" s="42" t="s">
        <v>282</v>
      </c>
      <c r="C10" s="42" t="s">
        <v>145</v>
      </c>
      <c r="D10" s="42" t="s">
        <v>12</v>
      </c>
      <c r="E10" s="45" t="s">
        <v>889</v>
      </c>
      <c r="F10" s="2" t="s">
        <v>178</v>
      </c>
      <c r="G10" s="95"/>
    </row>
    <row r="11" spans="1:7" ht="56.15" customHeight="1" x14ac:dyDescent="0.3">
      <c r="A11" s="42" t="s">
        <v>181</v>
      </c>
      <c r="B11" s="42" t="s">
        <v>283</v>
      </c>
      <c r="C11" s="42" t="s">
        <v>146</v>
      </c>
      <c r="D11" s="42" t="s">
        <v>120</v>
      </c>
      <c r="E11" s="45" t="s">
        <v>890</v>
      </c>
      <c r="F11" s="2" t="s">
        <v>179</v>
      </c>
      <c r="G11" s="95"/>
    </row>
    <row r="12" spans="1:7" ht="16" customHeight="1" x14ac:dyDescent="0.3">
      <c r="A12" s="59" t="s">
        <v>933</v>
      </c>
      <c r="B12" s="59" t="s">
        <v>310</v>
      </c>
      <c r="C12" s="59" t="s">
        <v>1041</v>
      </c>
      <c r="D12" s="59" t="s">
        <v>1042</v>
      </c>
      <c r="E12" s="85" t="s">
        <v>1043</v>
      </c>
      <c r="F12" s="96" t="s">
        <v>1094</v>
      </c>
      <c r="G12" s="95"/>
    </row>
    <row r="13" spans="1:7" ht="16" customHeight="1" x14ac:dyDescent="0.3">
      <c r="A13" s="59" t="s">
        <v>933</v>
      </c>
      <c r="B13" s="59" t="s">
        <v>934</v>
      </c>
      <c r="C13" s="59" t="s">
        <v>1044</v>
      </c>
      <c r="D13" s="59" t="s">
        <v>1042</v>
      </c>
      <c r="E13" s="85" t="s">
        <v>1045</v>
      </c>
      <c r="F13" s="96"/>
      <c r="G13" s="95"/>
    </row>
    <row r="14" spans="1:7" ht="16" customHeight="1" x14ac:dyDescent="0.3">
      <c r="A14" s="59" t="s">
        <v>933</v>
      </c>
      <c r="B14" s="59" t="s">
        <v>1046</v>
      </c>
      <c r="C14" s="59" t="s">
        <v>1047</v>
      </c>
      <c r="D14" s="59" t="s">
        <v>1048</v>
      </c>
      <c r="E14" s="85" t="s">
        <v>1049</v>
      </c>
      <c r="F14" s="96"/>
      <c r="G14" s="95"/>
    </row>
    <row r="15" spans="1:7" ht="16" customHeight="1" x14ac:dyDescent="0.3">
      <c r="A15" s="59" t="s">
        <v>933</v>
      </c>
      <c r="B15" s="59" t="s">
        <v>935</v>
      </c>
      <c r="C15" s="59" t="s">
        <v>1050</v>
      </c>
      <c r="D15" s="59" t="s">
        <v>1042</v>
      </c>
      <c r="E15" s="85" t="s">
        <v>1051</v>
      </c>
      <c r="F15" s="96"/>
      <c r="G15" s="95"/>
    </row>
    <row r="16" spans="1:7" ht="16" customHeight="1" x14ac:dyDescent="0.3">
      <c r="A16" s="59" t="s">
        <v>1052</v>
      </c>
      <c r="B16" s="59" t="s">
        <v>936</v>
      </c>
      <c r="C16" s="59" t="s">
        <v>1053</v>
      </c>
      <c r="D16" s="59" t="s">
        <v>1042</v>
      </c>
      <c r="E16" s="85" t="s">
        <v>1054</v>
      </c>
      <c r="F16" s="96"/>
      <c r="G16" s="95"/>
    </row>
    <row r="17" spans="1:7" ht="16" customHeight="1" x14ac:dyDescent="0.3">
      <c r="A17" s="59" t="s">
        <v>933</v>
      </c>
      <c r="B17" s="59" t="s">
        <v>937</v>
      </c>
      <c r="C17" s="59" t="s">
        <v>1055</v>
      </c>
      <c r="D17" s="59" t="s">
        <v>1042</v>
      </c>
      <c r="E17" s="85" t="s">
        <v>1056</v>
      </c>
      <c r="F17" s="96"/>
      <c r="G17" s="95"/>
    </row>
    <row r="18" spans="1:7" ht="16" customHeight="1" x14ac:dyDescent="0.3">
      <c r="A18" s="59" t="s">
        <v>933</v>
      </c>
      <c r="B18" s="59" t="s">
        <v>939</v>
      </c>
      <c r="C18" s="59" t="s">
        <v>1057</v>
      </c>
      <c r="D18" s="59" t="s">
        <v>1048</v>
      </c>
      <c r="E18" s="86" t="s">
        <v>1045</v>
      </c>
      <c r="F18" s="96"/>
      <c r="G18" s="95"/>
    </row>
    <row r="19" spans="1:7" ht="16" customHeight="1" x14ac:dyDescent="0.3">
      <c r="A19" s="59" t="s">
        <v>933</v>
      </c>
      <c r="B19" s="59" t="s">
        <v>941</v>
      </c>
      <c r="C19" s="59" t="s">
        <v>1058</v>
      </c>
      <c r="D19" s="59" t="s">
        <v>1048</v>
      </c>
      <c r="E19" s="86" t="s">
        <v>1059</v>
      </c>
      <c r="F19" s="96"/>
      <c r="G19" s="95"/>
    </row>
    <row r="20" spans="1:7" ht="16" customHeight="1" x14ac:dyDescent="0.3">
      <c r="A20" s="59" t="s">
        <v>1060</v>
      </c>
      <c r="B20" s="59" t="s">
        <v>1061</v>
      </c>
      <c r="C20" s="59" t="s">
        <v>1062</v>
      </c>
      <c r="D20" s="59" t="s">
        <v>797</v>
      </c>
      <c r="E20" s="86" t="s">
        <v>108</v>
      </c>
      <c r="F20" s="96"/>
      <c r="G20" s="95"/>
    </row>
    <row r="21" spans="1:7" x14ac:dyDescent="0.3">
      <c r="A21" s="59" t="s">
        <v>942</v>
      </c>
      <c r="B21" s="59" t="s">
        <v>943</v>
      </c>
      <c r="C21" s="59" t="s">
        <v>944</v>
      </c>
      <c r="D21" s="59" t="s">
        <v>508</v>
      </c>
      <c r="E21" s="87" t="s">
        <v>947</v>
      </c>
      <c r="F21" s="96"/>
      <c r="G21" s="95"/>
    </row>
    <row r="22" spans="1:7" x14ac:dyDescent="0.3">
      <c r="A22" s="59" t="s">
        <v>945</v>
      </c>
      <c r="B22" s="59" t="s">
        <v>946</v>
      </c>
      <c r="C22" s="59" t="s">
        <v>1063</v>
      </c>
      <c r="D22" s="59" t="s">
        <v>508</v>
      </c>
      <c r="E22" s="87" t="s">
        <v>1064</v>
      </c>
      <c r="F22" s="96"/>
      <c r="G22" s="95"/>
    </row>
    <row r="23" spans="1:7" x14ac:dyDescent="0.3">
      <c r="A23" s="59" t="s">
        <v>948</v>
      </c>
      <c r="B23" s="59" t="s">
        <v>311</v>
      </c>
      <c r="C23" s="59" t="s">
        <v>312</v>
      </c>
      <c r="D23" s="59" t="s">
        <v>313</v>
      </c>
      <c r="E23" s="87" t="s">
        <v>960</v>
      </c>
      <c r="F23" s="96"/>
      <c r="G23" s="95"/>
    </row>
    <row r="24" spans="1:7" x14ac:dyDescent="0.3">
      <c r="A24" s="59" t="s">
        <v>949</v>
      </c>
      <c r="B24" s="59" t="s">
        <v>1065</v>
      </c>
      <c r="C24" s="59" t="s">
        <v>314</v>
      </c>
      <c r="D24" s="59" t="s">
        <v>313</v>
      </c>
      <c r="E24" s="87" t="s">
        <v>1066</v>
      </c>
      <c r="F24" s="96"/>
      <c r="G24" s="95"/>
    </row>
    <row r="25" spans="1:7" x14ac:dyDescent="0.3">
      <c r="A25" s="59" t="s">
        <v>950</v>
      </c>
      <c r="B25" s="59" t="s">
        <v>951</v>
      </c>
      <c r="C25" s="59" t="s">
        <v>315</v>
      </c>
      <c r="D25" s="59" t="s">
        <v>313</v>
      </c>
      <c r="E25" s="87" t="s">
        <v>114</v>
      </c>
      <c r="F25" s="96"/>
      <c r="G25" s="95"/>
    </row>
    <row r="26" spans="1:7" x14ac:dyDescent="0.3">
      <c r="A26" s="59" t="s">
        <v>952</v>
      </c>
      <c r="B26" s="59" t="s">
        <v>1067</v>
      </c>
      <c r="C26" s="59" t="s">
        <v>316</v>
      </c>
      <c r="D26" s="59" t="s">
        <v>313</v>
      </c>
      <c r="E26" s="87" t="s">
        <v>1068</v>
      </c>
      <c r="F26" s="96"/>
      <c r="G26" s="95"/>
    </row>
    <row r="27" spans="1:7" x14ac:dyDescent="0.3">
      <c r="A27" s="59" t="s">
        <v>953</v>
      </c>
      <c r="B27" s="59" t="s">
        <v>1069</v>
      </c>
      <c r="C27" s="59" t="s">
        <v>317</v>
      </c>
      <c r="D27" s="59" t="s">
        <v>313</v>
      </c>
      <c r="E27" s="87" t="s">
        <v>1070</v>
      </c>
      <c r="F27" s="96"/>
      <c r="G27" s="95"/>
    </row>
    <row r="28" spans="1:7" x14ac:dyDescent="0.3">
      <c r="A28" s="59" t="s">
        <v>954</v>
      </c>
      <c r="B28" s="59" t="s">
        <v>1071</v>
      </c>
      <c r="C28" s="59" t="s">
        <v>318</v>
      </c>
      <c r="D28" s="59" t="s">
        <v>313</v>
      </c>
      <c r="E28" s="87" t="s">
        <v>972</v>
      </c>
      <c r="F28" s="96"/>
      <c r="G28" s="95"/>
    </row>
    <row r="29" spans="1:7" x14ac:dyDescent="0.3">
      <c r="A29" s="59" t="s">
        <v>955</v>
      </c>
      <c r="B29" s="59" t="s">
        <v>1072</v>
      </c>
      <c r="C29" s="59" t="s">
        <v>319</v>
      </c>
      <c r="D29" s="59" t="s">
        <v>313</v>
      </c>
      <c r="E29" s="87" t="s">
        <v>963</v>
      </c>
      <c r="F29" s="96"/>
      <c r="G29" s="95"/>
    </row>
    <row r="30" spans="1:7" x14ac:dyDescent="0.3">
      <c r="A30" s="59" t="s">
        <v>956</v>
      </c>
      <c r="B30" s="59" t="s">
        <v>1073</v>
      </c>
      <c r="C30" s="59" t="s">
        <v>320</v>
      </c>
      <c r="D30" s="59" t="s">
        <v>313</v>
      </c>
      <c r="E30" s="87" t="s">
        <v>973</v>
      </c>
      <c r="F30" s="96"/>
      <c r="G30" s="95"/>
    </row>
    <row r="31" spans="1:7" x14ac:dyDescent="0.3">
      <c r="A31" s="59" t="s">
        <v>957</v>
      </c>
      <c r="B31" s="59" t="s">
        <v>958</v>
      </c>
      <c r="C31" s="59" t="s">
        <v>321</v>
      </c>
      <c r="D31" s="59" t="s">
        <v>313</v>
      </c>
      <c r="E31" s="87" t="s">
        <v>41</v>
      </c>
      <c r="F31" s="96"/>
      <c r="G31" s="95"/>
    </row>
    <row r="32" spans="1:7" x14ac:dyDescent="0.3">
      <c r="A32" s="59" t="s">
        <v>959</v>
      </c>
      <c r="B32" s="59" t="s">
        <v>1074</v>
      </c>
      <c r="C32" s="59" t="s">
        <v>322</v>
      </c>
      <c r="D32" s="59" t="s">
        <v>313</v>
      </c>
      <c r="E32" s="87" t="s">
        <v>606</v>
      </c>
      <c r="F32" s="96"/>
      <c r="G32" s="95"/>
    </row>
    <row r="33" spans="1:7" x14ac:dyDescent="0.3">
      <c r="A33" s="59" t="s">
        <v>961</v>
      </c>
      <c r="B33" s="59" t="s">
        <v>962</v>
      </c>
      <c r="C33" s="59" t="s">
        <v>323</v>
      </c>
      <c r="D33" s="59" t="s">
        <v>313</v>
      </c>
      <c r="E33" s="87" t="s">
        <v>968</v>
      </c>
      <c r="F33" s="96"/>
      <c r="G33" s="95"/>
    </row>
    <row r="34" spans="1:7" x14ac:dyDescent="0.3">
      <c r="A34" s="59" t="s">
        <v>964</v>
      </c>
      <c r="B34" s="59" t="s">
        <v>965</v>
      </c>
      <c r="C34" s="59" t="s">
        <v>324</v>
      </c>
      <c r="D34" s="59" t="s">
        <v>313</v>
      </c>
      <c r="E34" s="87" t="s">
        <v>1075</v>
      </c>
      <c r="F34" s="96"/>
      <c r="G34" s="95"/>
    </row>
    <row r="35" spans="1:7" x14ac:dyDescent="0.3">
      <c r="A35" s="59" t="s">
        <v>966</v>
      </c>
      <c r="B35" s="59" t="s">
        <v>1076</v>
      </c>
      <c r="C35" s="59" t="s">
        <v>325</v>
      </c>
      <c r="D35" s="59" t="s">
        <v>313</v>
      </c>
      <c r="E35" s="87" t="s">
        <v>1077</v>
      </c>
      <c r="F35" s="96"/>
      <c r="G35" s="95"/>
    </row>
    <row r="36" spans="1:7" x14ac:dyDescent="0.3">
      <c r="A36" s="59" t="s">
        <v>967</v>
      </c>
      <c r="B36" s="59" t="s">
        <v>1078</v>
      </c>
      <c r="C36" s="59" t="s">
        <v>326</v>
      </c>
      <c r="D36" s="59" t="s">
        <v>313</v>
      </c>
      <c r="E36" s="87" t="s">
        <v>1079</v>
      </c>
      <c r="F36" s="96"/>
      <c r="G36" s="95"/>
    </row>
    <row r="37" spans="1:7" x14ac:dyDescent="0.3">
      <c r="A37" s="59" t="s">
        <v>969</v>
      </c>
      <c r="B37" s="59" t="s">
        <v>970</v>
      </c>
      <c r="C37" s="59" t="s">
        <v>327</v>
      </c>
      <c r="D37" s="59" t="s">
        <v>313</v>
      </c>
      <c r="E37" s="87" t="s">
        <v>1080</v>
      </c>
      <c r="F37" s="96"/>
      <c r="G37" s="95"/>
    </row>
    <row r="38" spans="1:7" x14ac:dyDescent="0.3">
      <c r="A38" s="59" t="s">
        <v>971</v>
      </c>
      <c r="B38" s="59" t="s">
        <v>1081</v>
      </c>
      <c r="C38" s="59" t="s">
        <v>328</v>
      </c>
      <c r="D38" s="59" t="s">
        <v>313</v>
      </c>
      <c r="E38" s="87" t="s">
        <v>1082</v>
      </c>
      <c r="F38" s="96"/>
      <c r="G38" s="95"/>
    </row>
    <row r="39" spans="1:7" x14ac:dyDescent="0.3">
      <c r="A39" s="59" t="s">
        <v>1083</v>
      </c>
      <c r="B39" s="59" t="s">
        <v>1084</v>
      </c>
      <c r="C39" s="59" t="s">
        <v>329</v>
      </c>
      <c r="D39" s="59" t="s">
        <v>313</v>
      </c>
      <c r="E39" s="87" t="s">
        <v>1085</v>
      </c>
      <c r="F39" s="96"/>
      <c r="G39" s="95"/>
    </row>
    <row r="40" spans="1:7" x14ac:dyDescent="0.3">
      <c r="A40" s="59" t="s">
        <v>1083</v>
      </c>
      <c r="B40" s="59" t="s">
        <v>1086</v>
      </c>
      <c r="C40" s="59" t="s">
        <v>330</v>
      </c>
      <c r="D40" s="59" t="s">
        <v>313</v>
      </c>
      <c r="E40" s="87" t="s">
        <v>1087</v>
      </c>
      <c r="F40" s="96"/>
      <c r="G40" s="95"/>
    </row>
    <row r="41" spans="1:7" x14ac:dyDescent="0.3">
      <c r="A41" s="59" t="s">
        <v>1083</v>
      </c>
      <c r="B41" s="59" t="s">
        <v>1088</v>
      </c>
      <c r="C41" s="59" t="s">
        <v>331</v>
      </c>
      <c r="D41" s="59" t="s">
        <v>313</v>
      </c>
      <c r="E41" s="87" t="s">
        <v>1089</v>
      </c>
      <c r="F41" s="96"/>
      <c r="G41" s="95"/>
    </row>
    <row r="42" spans="1:7" x14ac:dyDescent="0.3">
      <c r="A42" s="59" t="s">
        <v>1083</v>
      </c>
      <c r="B42" s="59" t="s">
        <v>1090</v>
      </c>
      <c r="C42" s="59" t="s">
        <v>332</v>
      </c>
      <c r="D42" s="59" t="s">
        <v>313</v>
      </c>
      <c r="E42" s="87" t="s">
        <v>1091</v>
      </c>
      <c r="F42" s="96"/>
      <c r="G42" s="95"/>
    </row>
    <row r="43" spans="1:7" x14ac:dyDescent="0.3">
      <c r="A43" s="59" t="s">
        <v>1083</v>
      </c>
      <c r="B43" s="59" t="s">
        <v>1092</v>
      </c>
      <c r="C43" s="59" t="s">
        <v>333</v>
      </c>
      <c r="D43" s="59" t="s">
        <v>313</v>
      </c>
      <c r="E43" s="87" t="s">
        <v>1093</v>
      </c>
      <c r="F43" s="96"/>
      <c r="G43" s="95"/>
    </row>
    <row r="44" spans="1:7" x14ac:dyDescent="0.3">
      <c r="A44" s="42" t="s">
        <v>974</v>
      </c>
      <c r="B44" s="42" t="s">
        <v>975</v>
      </c>
      <c r="C44" s="42" t="s">
        <v>976</v>
      </c>
      <c r="D44" s="42" t="s">
        <v>977</v>
      </c>
      <c r="E44" s="45" t="s">
        <v>940</v>
      </c>
      <c r="F44" t="s">
        <v>978</v>
      </c>
    </row>
    <row r="45" spans="1:7" x14ac:dyDescent="0.3">
      <c r="A45" s="43" t="s">
        <v>979</v>
      </c>
      <c r="B45" s="46" t="s">
        <v>980</v>
      </c>
      <c r="C45" s="44" t="s">
        <v>979</v>
      </c>
      <c r="D45" s="42" t="s">
        <v>981</v>
      </c>
      <c r="E45" s="45" t="s">
        <v>938</v>
      </c>
      <c r="F45" s="25" t="s">
        <v>982</v>
      </c>
    </row>
    <row r="46" spans="1:7" x14ac:dyDescent="0.3">
      <c r="A46" s="48" t="s">
        <v>983</v>
      </c>
      <c r="B46" s="48" t="s">
        <v>984</v>
      </c>
      <c r="C46" s="48" t="s">
        <v>985</v>
      </c>
      <c r="D46" s="49" t="s">
        <v>986</v>
      </c>
      <c r="E46" s="50" t="s">
        <v>940</v>
      </c>
    </row>
    <row r="47" spans="1:7" x14ac:dyDescent="0.3">
      <c r="A47" s="41" t="s">
        <v>987</v>
      </c>
      <c r="B47" s="41" t="s">
        <v>988</v>
      </c>
      <c r="C47" s="41" t="s">
        <v>989</v>
      </c>
      <c r="D47" s="39" t="s">
        <v>990</v>
      </c>
      <c r="E47" s="40" t="s">
        <v>940</v>
      </c>
    </row>
    <row r="48" spans="1:7" x14ac:dyDescent="0.3">
      <c r="A48" s="41" t="s">
        <v>111</v>
      </c>
      <c r="B48" s="41" t="s">
        <v>991</v>
      </c>
      <c r="C48" s="41" t="s">
        <v>992</v>
      </c>
      <c r="D48" s="39" t="s">
        <v>986</v>
      </c>
      <c r="E48" s="40" t="s">
        <v>993</v>
      </c>
      <c r="F48" s="4"/>
    </row>
    <row r="49" spans="1:6" x14ac:dyDescent="0.3">
      <c r="A49" s="51" t="s">
        <v>994</v>
      </c>
      <c r="B49" s="52" t="s">
        <v>995</v>
      </c>
      <c r="C49" s="51" t="s">
        <v>996</v>
      </c>
      <c r="D49" s="53" t="s">
        <v>986</v>
      </c>
      <c r="E49" s="54" t="s">
        <v>997</v>
      </c>
      <c r="F49" s="55" t="s">
        <v>982</v>
      </c>
    </row>
    <row r="50" spans="1:6" x14ac:dyDescent="0.3">
      <c r="A50" s="51" t="s">
        <v>998</v>
      </c>
      <c r="B50" s="52" t="s">
        <v>999</v>
      </c>
      <c r="C50" s="51" t="s">
        <v>1000</v>
      </c>
      <c r="D50" s="53" t="s">
        <v>1001</v>
      </c>
      <c r="E50" s="54" t="s">
        <v>1002</v>
      </c>
      <c r="F50" s="56" t="s">
        <v>982</v>
      </c>
    </row>
  </sheetData>
  <mergeCells count="2">
    <mergeCell ref="G6:G43"/>
    <mergeCell ref="F12:F4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abSelected="1" topLeftCell="A15" workbookViewId="0">
      <selection activeCell="E41" sqref="E41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58203125" customWidth="1"/>
    <col min="6" max="6" width="54.33203125" customWidth="1"/>
  </cols>
  <sheetData>
    <row r="1" spans="1:6" x14ac:dyDescent="0.3">
      <c r="A1" s="13" t="s">
        <v>0</v>
      </c>
      <c r="B1" s="13" t="s">
        <v>177</v>
      </c>
      <c r="C1" s="13"/>
      <c r="D1" s="13"/>
      <c r="E1" s="14"/>
      <c r="F1" s="14"/>
    </row>
    <row r="2" spans="1:6" x14ac:dyDescent="0.3">
      <c r="A2" s="13" t="s">
        <v>1</v>
      </c>
      <c r="B2" s="14" t="s">
        <v>100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1144</v>
      </c>
    </row>
    <row r="4" spans="1:6" x14ac:dyDescent="0.3">
      <c r="A4" s="4" t="s">
        <v>892</v>
      </c>
      <c r="B4" s="4" t="s">
        <v>437</v>
      </c>
      <c r="C4" s="4" t="s">
        <v>891</v>
      </c>
      <c r="D4" s="4" t="s">
        <v>438</v>
      </c>
      <c r="E4" s="4" t="str">
        <f>"0x"&amp;(DEC2HEX(_xlfn.BITAND(umctl2_timing!B4,255)))</f>
        <v>0x1</v>
      </c>
    </row>
    <row r="5" spans="1:6" x14ac:dyDescent="0.3">
      <c r="A5" s="4" t="s">
        <v>893</v>
      </c>
      <c r="B5" s="4" t="s">
        <v>439</v>
      </c>
      <c r="C5" s="4" t="s">
        <v>894</v>
      </c>
      <c r="D5" s="4" t="s">
        <v>438</v>
      </c>
      <c r="E5" s="4" t="str">
        <f>"0x"&amp;(DEC2HEX(_xlfn.BITAND(_xlfn.BITRSHIFT((umctl2_timing!B4+16384),8),255)))</f>
        <v>0x41</v>
      </c>
    </row>
    <row r="6" spans="1:6" x14ac:dyDescent="0.3">
      <c r="A6" s="4" t="s">
        <v>895</v>
      </c>
      <c r="B6" s="4" t="s">
        <v>440</v>
      </c>
      <c r="C6" s="4" t="s">
        <v>896</v>
      </c>
      <c r="D6" s="4" t="s">
        <v>441</v>
      </c>
      <c r="E6" s="4" t="s">
        <v>334</v>
      </c>
    </row>
    <row r="7" spans="1:6" x14ac:dyDescent="0.3">
      <c r="A7" s="4" t="s">
        <v>895</v>
      </c>
      <c r="B7" s="4" t="s">
        <v>906</v>
      </c>
      <c r="C7" s="4" t="s">
        <v>903</v>
      </c>
      <c r="D7" s="4" t="s">
        <v>904</v>
      </c>
      <c r="E7" s="4" t="s">
        <v>905</v>
      </c>
    </row>
    <row r="8" spans="1:6" x14ac:dyDescent="0.3">
      <c r="A8" s="4" t="s">
        <v>897</v>
      </c>
      <c r="B8" s="77" t="s">
        <v>442</v>
      </c>
      <c r="C8" s="4" t="s">
        <v>898</v>
      </c>
      <c r="D8" s="4" t="s">
        <v>443</v>
      </c>
      <c r="E8" s="4" t="s">
        <v>444</v>
      </c>
      <c r="F8" s="26" t="s">
        <v>182</v>
      </c>
    </row>
    <row r="9" spans="1:6" x14ac:dyDescent="0.3">
      <c r="A9" s="4" t="s">
        <v>899</v>
      </c>
      <c r="B9" s="4" t="s">
        <v>440</v>
      </c>
      <c r="C9" s="4" t="s">
        <v>896</v>
      </c>
      <c r="D9" s="4" t="s">
        <v>441</v>
      </c>
      <c r="E9" s="4" t="s">
        <v>337</v>
      </c>
    </row>
    <row r="10" spans="1:6" x14ac:dyDescent="0.3">
      <c r="A10" s="4" t="s">
        <v>895</v>
      </c>
      <c r="B10" s="4" t="s">
        <v>906</v>
      </c>
      <c r="C10" s="4" t="s">
        <v>903</v>
      </c>
      <c r="D10" s="4" t="s">
        <v>904</v>
      </c>
      <c r="E10" s="4" t="s">
        <v>907</v>
      </c>
    </row>
    <row r="11" spans="1:6" x14ac:dyDescent="0.3">
      <c r="A11" s="4" t="s">
        <v>900</v>
      </c>
      <c r="B11" s="4" t="s">
        <v>916</v>
      </c>
      <c r="C11" s="4" t="s">
        <v>917</v>
      </c>
      <c r="D11" s="4" t="s">
        <v>918</v>
      </c>
      <c r="E11" s="4" t="s">
        <v>907</v>
      </c>
    </row>
    <row r="12" spans="1:6" x14ac:dyDescent="0.3">
      <c r="A12" s="4" t="s">
        <v>900</v>
      </c>
      <c r="B12" s="4" t="s">
        <v>919</v>
      </c>
      <c r="C12" s="4" t="s">
        <v>920</v>
      </c>
      <c r="D12" s="4" t="s">
        <v>921</v>
      </c>
      <c r="E12" s="4" t="s">
        <v>907</v>
      </c>
    </row>
    <row r="13" spans="1:6" x14ac:dyDescent="0.3">
      <c r="A13" s="4" t="s">
        <v>900</v>
      </c>
      <c r="B13" s="4" t="s">
        <v>923</v>
      </c>
      <c r="C13" s="4" t="s">
        <v>922</v>
      </c>
      <c r="D13" s="4" t="s">
        <v>921</v>
      </c>
      <c r="E13" s="4" t="s">
        <v>907</v>
      </c>
    </row>
    <row r="14" spans="1:6" x14ac:dyDescent="0.3">
      <c r="A14" s="4" t="s">
        <v>900</v>
      </c>
      <c r="B14" s="4" t="s">
        <v>924</v>
      </c>
      <c r="C14" s="4" t="s">
        <v>925</v>
      </c>
      <c r="D14" s="4" t="s">
        <v>921</v>
      </c>
      <c r="E14" s="4" t="s">
        <v>907</v>
      </c>
    </row>
    <row r="15" spans="1:6" x14ac:dyDescent="0.3">
      <c r="A15" s="4" t="s">
        <v>900</v>
      </c>
      <c r="B15" s="4" t="s">
        <v>926</v>
      </c>
      <c r="C15" s="4" t="s">
        <v>927</v>
      </c>
      <c r="D15" s="4" t="s">
        <v>921</v>
      </c>
      <c r="E15" s="4" t="s">
        <v>907</v>
      </c>
    </row>
    <row r="16" spans="1:6" x14ac:dyDescent="0.3">
      <c r="A16" s="4" t="s">
        <v>900</v>
      </c>
      <c r="B16" s="4" t="s">
        <v>906</v>
      </c>
      <c r="C16" s="4" t="s">
        <v>908</v>
      </c>
      <c r="D16" s="4" t="s">
        <v>909</v>
      </c>
      <c r="E16" s="4" t="s">
        <v>905</v>
      </c>
    </row>
    <row r="17" spans="1:6" x14ac:dyDescent="0.3">
      <c r="A17" s="4" t="s">
        <v>900</v>
      </c>
      <c r="B17" s="4" t="s">
        <v>440</v>
      </c>
      <c r="C17" s="4" t="s">
        <v>901</v>
      </c>
      <c r="D17" s="4" t="s">
        <v>445</v>
      </c>
      <c r="E17" s="4" t="s">
        <v>334</v>
      </c>
    </row>
    <row r="18" spans="1:6" x14ac:dyDescent="0.3">
      <c r="A18" s="4" t="s">
        <v>900</v>
      </c>
      <c r="B18" s="77" t="s">
        <v>446</v>
      </c>
      <c r="C18" s="4" t="s">
        <v>902</v>
      </c>
      <c r="D18" s="4" t="s">
        <v>313</v>
      </c>
      <c r="E18" s="4" t="s">
        <v>447</v>
      </c>
      <c r="F18" s="26" t="s">
        <v>182</v>
      </c>
    </row>
    <row r="19" spans="1:6" x14ac:dyDescent="0.3">
      <c r="A19" s="4" t="s">
        <v>900</v>
      </c>
      <c r="B19" s="4" t="s">
        <v>440</v>
      </c>
      <c r="C19" s="4" t="s">
        <v>901</v>
      </c>
      <c r="D19" s="4" t="s">
        <v>445</v>
      </c>
      <c r="E19" s="4" t="s">
        <v>337</v>
      </c>
    </row>
    <row r="20" spans="1:6" x14ac:dyDescent="0.3">
      <c r="A20" s="4" t="s">
        <v>900</v>
      </c>
      <c r="B20" s="4" t="s">
        <v>906</v>
      </c>
      <c r="C20" s="4" t="s">
        <v>908</v>
      </c>
      <c r="D20" s="4" t="s">
        <v>909</v>
      </c>
      <c r="E20" s="4" t="s">
        <v>910</v>
      </c>
    </row>
    <row r="21" spans="1:6" x14ac:dyDescent="0.3">
      <c r="A21" s="4" t="s">
        <v>900</v>
      </c>
      <c r="B21" s="4" t="s">
        <v>919</v>
      </c>
      <c r="C21" s="4" t="s">
        <v>920</v>
      </c>
      <c r="D21" s="4" t="s">
        <v>921</v>
      </c>
      <c r="E21" s="4" t="s">
        <v>928</v>
      </c>
    </row>
    <row r="22" spans="1:6" x14ac:dyDescent="0.3">
      <c r="A22" s="4" t="s">
        <v>900</v>
      </c>
      <c r="B22" s="4" t="s">
        <v>923</v>
      </c>
      <c r="C22" s="4" t="s">
        <v>922</v>
      </c>
      <c r="D22" s="4" t="s">
        <v>921</v>
      </c>
      <c r="E22" s="4" t="s">
        <v>928</v>
      </c>
    </row>
    <row r="23" spans="1:6" x14ac:dyDescent="0.3">
      <c r="A23" s="4" t="s">
        <v>900</v>
      </c>
      <c r="B23" s="4" t="s">
        <v>924</v>
      </c>
      <c r="C23" s="4" t="s">
        <v>925</v>
      </c>
      <c r="D23" s="4" t="s">
        <v>921</v>
      </c>
      <c r="E23" s="4" t="s">
        <v>928</v>
      </c>
    </row>
    <row r="24" spans="1:6" x14ac:dyDescent="0.3">
      <c r="A24" s="4" t="s">
        <v>900</v>
      </c>
      <c r="B24" s="4" t="s">
        <v>926</v>
      </c>
      <c r="C24" s="4" t="s">
        <v>927</v>
      </c>
      <c r="D24" s="4" t="s">
        <v>921</v>
      </c>
      <c r="E24" s="4" t="s">
        <v>928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zoomScale="85" zoomScaleNormal="85"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6640625" customWidth="1"/>
    <col min="7" max="7" width="42.33203125" customWidth="1"/>
  </cols>
  <sheetData>
    <row r="1" spans="1:7" x14ac:dyDescent="0.3">
      <c r="A1" s="14" t="s">
        <v>0</v>
      </c>
      <c r="B1" s="14" t="s">
        <v>185</v>
      </c>
      <c r="C1" s="14"/>
      <c r="D1" s="14"/>
      <c r="E1" s="14"/>
      <c r="F1" s="14"/>
    </row>
    <row r="2" spans="1:7" x14ac:dyDescent="0.3">
      <c r="A2" s="14" t="s">
        <v>1</v>
      </c>
      <c r="B2" s="14" t="s">
        <v>100</v>
      </c>
      <c r="C2" s="14"/>
      <c r="D2" s="14"/>
      <c r="E2" s="14"/>
      <c r="F2" s="14"/>
    </row>
    <row r="3" spans="1:7" x14ac:dyDescent="0.3">
      <c r="A3" s="14" t="s">
        <v>2</v>
      </c>
      <c r="B3" s="14" t="s">
        <v>3</v>
      </c>
      <c r="C3" s="14" t="s">
        <v>5</v>
      </c>
      <c r="D3" s="14" t="s">
        <v>6</v>
      </c>
      <c r="E3" s="14" t="s">
        <v>4</v>
      </c>
      <c r="F3" s="88" t="s">
        <v>1144</v>
      </c>
    </row>
    <row r="4" spans="1:7" x14ac:dyDescent="0.3">
      <c r="A4" s="28" t="s">
        <v>264</v>
      </c>
      <c r="B4" s="28" t="s">
        <v>265</v>
      </c>
      <c r="C4" s="29" t="s">
        <v>263</v>
      </c>
      <c r="D4" s="28" t="s">
        <v>261</v>
      </c>
      <c r="E4" s="30" t="s">
        <v>262</v>
      </c>
      <c r="F4" s="31" t="s">
        <v>259</v>
      </c>
      <c r="G4" t="s">
        <v>270</v>
      </c>
    </row>
    <row r="5" spans="1:7" x14ac:dyDescent="0.3">
      <c r="A5" s="28"/>
      <c r="B5" s="28"/>
      <c r="C5" s="29" t="s">
        <v>256</v>
      </c>
      <c r="D5" s="28" t="s">
        <v>257</v>
      </c>
      <c r="E5" s="30" t="s">
        <v>258</v>
      </c>
      <c r="F5" s="31" t="s">
        <v>259</v>
      </c>
    </row>
    <row r="6" spans="1:7" x14ac:dyDescent="0.3">
      <c r="A6" s="28"/>
      <c r="B6" s="28"/>
      <c r="C6" s="29" t="s">
        <v>254</v>
      </c>
      <c r="D6" s="28" t="s">
        <v>255</v>
      </c>
      <c r="E6" s="30" t="s">
        <v>260</v>
      </c>
      <c r="F6" s="31" t="s">
        <v>259</v>
      </c>
    </row>
    <row r="7" spans="1:7" x14ac:dyDescent="0.3">
      <c r="A7" s="28" t="s">
        <v>301</v>
      </c>
      <c r="B7" s="28" t="s">
        <v>302</v>
      </c>
      <c r="C7" s="29" t="s">
        <v>303</v>
      </c>
      <c r="D7" s="28" t="s">
        <v>304</v>
      </c>
      <c r="E7" s="30" t="s">
        <v>298</v>
      </c>
      <c r="F7" s="31"/>
    </row>
    <row r="8" spans="1:7" x14ac:dyDescent="0.3">
      <c r="A8" s="28" t="s">
        <v>301</v>
      </c>
      <c r="B8" s="28" t="s">
        <v>302</v>
      </c>
      <c r="C8" s="29" t="s">
        <v>303</v>
      </c>
      <c r="D8" s="28" t="s">
        <v>304</v>
      </c>
      <c r="E8" s="30" t="s">
        <v>299</v>
      </c>
      <c r="F8" s="31"/>
    </row>
    <row r="9" spans="1:7" x14ac:dyDescent="0.3">
      <c r="A9" s="28" t="s">
        <v>301</v>
      </c>
      <c r="B9" s="58" t="s">
        <v>305</v>
      </c>
      <c r="C9" s="29" t="s">
        <v>306</v>
      </c>
      <c r="D9" s="28" t="s">
        <v>307</v>
      </c>
      <c r="E9" s="30" t="s">
        <v>298</v>
      </c>
      <c r="F9" s="31"/>
      <c r="G9" s="26" t="s">
        <v>308</v>
      </c>
    </row>
    <row r="10" spans="1:7" x14ac:dyDescent="0.3">
      <c r="A10" s="28" t="s">
        <v>229</v>
      </c>
      <c r="B10" s="28" t="s">
        <v>187</v>
      </c>
      <c r="C10" s="28" t="s">
        <v>188</v>
      </c>
      <c r="D10" s="28" t="s">
        <v>189</v>
      </c>
      <c r="E10" s="30" t="s">
        <v>22</v>
      </c>
      <c r="F10" s="31" t="s">
        <v>230</v>
      </c>
    </row>
    <row r="11" spans="1:7" x14ac:dyDescent="0.3">
      <c r="A11" s="28"/>
      <c r="B11" s="28"/>
      <c r="C11" s="28" t="s">
        <v>190</v>
      </c>
      <c r="D11" s="28" t="s">
        <v>147</v>
      </c>
      <c r="E11" s="30" t="s">
        <v>114</v>
      </c>
      <c r="F11" s="31" t="s">
        <v>231</v>
      </c>
    </row>
    <row r="12" spans="1:7" ht="42" x14ac:dyDescent="0.3">
      <c r="A12" s="28"/>
      <c r="B12" s="28"/>
      <c r="C12" s="28" t="s">
        <v>191</v>
      </c>
      <c r="D12" s="28" t="s">
        <v>148</v>
      </c>
      <c r="E12" s="30" t="s">
        <v>26</v>
      </c>
      <c r="F12" s="31" t="s">
        <v>192</v>
      </c>
    </row>
    <row r="13" spans="1:7" ht="56" x14ac:dyDescent="0.3">
      <c r="A13" s="28"/>
      <c r="B13" s="28"/>
      <c r="C13" s="28" t="s">
        <v>193</v>
      </c>
      <c r="D13" s="28" t="s">
        <v>194</v>
      </c>
      <c r="E13" s="30" t="s">
        <v>22</v>
      </c>
      <c r="F13" s="31" t="s">
        <v>232</v>
      </c>
      <c r="G13" t="s">
        <v>309</v>
      </c>
    </row>
    <row r="14" spans="1:7" x14ac:dyDescent="0.3">
      <c r="A14" s="32" t="s">
        <v>186</v>
      </c>
      <c r="B14" s="32" t="s">
        <v>266</v>
      </c>
      <c r="C14" s="33" t="s">
        <v>186</v>
      </c>
      <c r="D14" s="32" t="s">
        <v>60</v>
      </c>
      <c r="E14" s="34" t="s">
        <v>267</v>
      </c>
      <c r="F14" s="35" t="s">
        <v>268</v>
      </c>
      <c r="G14" t="s">
        <v>269</v>
      </c>
    </row>
    <row r="15" spans="1:7" ht="57.65" customHeight="1" x14ac:dyDescent="0.3">
      <c r="A15" s="32" t="s">
        <v>233</v>
      </c>
      <c r="B15" s="32" t="s">
        <v>237</v>
      </c>
      <c r="C15" s="32" t="s">
        <v>234</v>
      </c>
      <c r="D15" s="32" t="s">
        <v>235</v>
      </c>
      <c r="E15" s="34" t="s">
        <v>242</v>
      </c>
      <c r="F15" s="35" t="s">
        <v>236</v>
      </c>
      <c r="G15" t="s">
        <v>271</v>
      </c>
    </row>
    <row r="16" spans="1:7" ht="28" x14ac:dyDescent="0.3">
      <c r="A16" s="32" t="s">
        <v>197</v>
      </c>
      <c r="B16" s="32" t="s">
        <v>238</v>
      </c>
      <c r="C16" s="33" t="s">
        <v>239</v>
      </c>
      <c r="D16" s="32" t="s">
        <v>240</v>
      </c>
      <c r="E16" s="34" t="s">
        <v>22</v>
      </c>
      <c r="F16" s="35" t="s">
        <v>241</v>
      </c>
    </row>
    <row r="17" spans="1:6" ht="56" x14ac:dyDescent="0.3">
      <c r="A17" s="32" t="s">
        <v>243</v>
      </c>
      <c r="B17" s="32" t="s">
        <v>246</v>
      </c>
      <c r="C17" s="33" t="s">
        <v>244</v>
      </c>
      <c r="D17" s="32" t="s">
        <v>240</v>
      </c>
      <c r="E17" s="34" t="s">
        <v>114</v>
      </c>
      <c r="F17" s="35" t="s">
        <v>245</v>
      </c>
    </row>
    <row r="18" spans="1:6" ht="42" x14ac:dyDescent="0.3">
      <c r="A18" s="32" t="s">
        <v>195</v>
      </c>
      <c r="B18" s="32" t="s">
        <v>247</v>
      </c>
      <c r="C18" s="32" t="s">
        <v>196</v>
      </c>
      <c r="D18" s="32" t="s">
        <v>194</v>
      </c>
      <c r="E18" s="34" t="s">
        <v>26</v>
      </c>
      <c r="F18" s="35" t="s">
        <v>248</v>
      </c>
    </row>
    <row r="19" spans="1:6" ht="56" x14ac:dyDescent="0.3">
      <c r="A19" t="s">
        <v>199</v>
      </c>
      <c r="B19" t="s">
        <v>200</v>
      </c>
      <c r="C19" t="s">
        <v>201</v>
      </c>
      <c r="D19" t="s">
        <v>202</v>
      </c>
      <c r="E19" s="1" t="s">
        <v>114</v>
      </c>
      <c r="F19" s="2" t="s">
        <v>203</v>
      </c>
    </row>
    <row r="20" spans="1:6" x14ac:dyDescent="0.3">
      <c r="C20" t="s">
        <v>204</v>
      </c>
      <c r="D20" t="s">
        <v>13</v>
      </c>
      <c r="E20" s="1" t="s">
        <v>22</v>
      </c>
      <c r="F20" s="2"/>
    </row>
    <row r="21" spans="1:6" x14ac:dyDescent="0.3">
      <c r="C21" t="s">
        <v>205</v>
      </c>
      <c r="D21" t="s">
        <v>14</v>
      </c>
      <c r="E21" s="1" t="s">
        <v>22</v>
      </c>
      <c r="F21" s="2"/>
    </row>
    <row r="22" spans="1:6" x14ac:dyDescent="0.3">
      <c r="A22" t="s">
        <v>206</v>
      </c>
      <c r="B22" t="s">
        <v>207</v>
      </c>
      <c r="C22" t="s">
        <v>208</v>
      </c>
      <c r="D22" t="s">
        <v>198</v>
      </c>
      <c r="E22" s="1" t="s">
        <v>22</v>
      </c>
      <c r="F22" s="2"/>
    </row>
    <row r="23" spans="1:6" x14ac:dyDescent="0.3">
      <c r="C23" t="s">
        <v>209</v>
      </c>
      <c r="D23" t="s">
        <v>210</v>
      </c>
      <c r="E23" s="1" t="s">
        <v>22</v>
      </c>
      <c r="F23" s="2"/>
    </row>
    <row r="24" spans="1:6" x14ac:dyDescent="0.3">
      <c r="C24" t="s">
        <v>211</v>
      </c>
      <c r="D24" t="s">
        <v>95</v>
      </c>
      <c r="E24" s="1" t="s">
        <v>22</v>
      </c>
      <c r="F24" s="2"/>
    </row>
    <row r="25" spans="1:6" x14ac:dyDescent="0.3">
      <c r="C25" t="s">
        <v>212</v>
      </c>
      <c r="D25" t="s">
        <v>213</v>
      </c>
      <c r="E25" s="1" t="s">
        <v>22</v>
      </c>
      <c r="F25" s="2"/>
    </row>
    <row r="26" spans="1:6" x14ac:dyDescent="0.3">
      <c r="C26" t="s">
        <v>214</v>
      </c>
      <c r="D26" t="s">
        <v>87</v>
      </c>
      <c r="E26" s="1" t="s">
        <v>22</v>
      </c>
      <c r="F26" s="2"/>
    </row>
    <row r="27" spans="1:6" x14ac:dyDescent="0.3">
      <c r="C27" t="s">
        <v>215</v>
      </c>
      <c r="D27" t="s">
        <v>113</v>
      </c>
      <c r="E27" s="1" t="s">
        <v>22</v>
      </c>
      <c r="F27" s="2"/>
    </row>
    <row r="28" spans="1:6" ht="56" x14ac:dyDescent="0.3">
      <c r="C28" t="s">
        <v>216</v>
      </c>
      <c r="D28" t="s">
        <v>217</v>
      </c>
      <c r="E28" s="1" t="s">
        <v>114</v>
      </c>
      <c r="F28" s="2" t="s">
        <v>253</v>
      </c>
    </row>
    <row r="29" spans="1:6" ht="56" x14ac:dyDescent="0.3">
      <c r="C29" t="s">
        <v>218</v>
      </c>
      <c r="D29" t="s">
        <v>219</v>
      </c>
      <c r="E29" s="1" t="s">
        <v>114</v>
      </c>
      <c r="F29" s="2" t="s">
        <v>252</v>
      </c>
    </row>
    <row r="30" spans="1:6" ht="56" x14ac:dyDescent="0.3">
      <c r="A30" t="s">
        <v>220</v>
      </c>
      <c r="B30" t="s">
        <v>221</v>
      </c>
      <c r="C30" t="s">
        <v>222</v>
      </c>
      <c r="D30" t="s">
        <v>194</v>
      </c>
      <c r="E30" s="1" t="s">
        <v>114</v>
      </c>
      <c r="F30" s="2" t="s">
        <v>249</v>
      </c>
    </row>
    <row r="31" spans="1:6" ht="56" x14ac:dyDescent="0.3">
      <c r="A31" t="s">
        <v>223</v>
      </c>
      <c r="B31" t="s">
        <v>224</v>
      </c>
      <c r="C31" t="s">
        <v>225</v>
      </c>
      <c r="D31" t="s">
        <v>194</v>
      </c>
      <c r="E31" s="1" t="s">
        <v>114</v>
      </c>
      <c r="F31" s="2" t="s">
        <v>250</v>
      </c>
    </row>
    <row r="32" spans="1:6" ht="56" x14ac:dyDescent="0.3">
      <c r="A32" t="s">
        <v>226</v>
      </c>
      <c r="B32" t="s">
        <v>227</v>
      </c>
      <c r="C32" t="s">
        <v>228</v>
      </c>
      <c r="D32" t="s">
        <v>194</v>
      </c>
      <c r="E32" s="1" t="s">
        <v>114</v>
      </c>
      <c r="F32" s="2" t="s">
        <v>251</v>
      </c>
    </row>
    <row r="33" spans="6:6" x14ac:dyDescent="0.3">
      <c r="F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dmc_sys_apb_reg</vt:lpstr>
      <vt:lpstr>umctl2_timing</vt:lpstr>
      <vt:lpstr>umctl2_perf</vt:lpstr>
      <vt:lpstr>init_flow</vt:lpstr>
      <vt:lpstr>PHY_CALIBRATION</vt:lpstr>
      <vt:lpstr>clock_init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2021-04-26T06:31:33Z</dcterms:modified>
</cp:coreProperties>
</file>